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Jun\Downloads\"/>
    </mc:Choice>
  </mc:AlternateContent>
  <xr:revisionPtr revIDLastSave="0" documentId="13_ncr:1_{B959605E-9C2F-4479-A176-7E490E77F171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Zip Code" sheetId="5" r:id="rId1"/>
    <sheet name="Sheet1 (2)" sheetId="4" r:id="rId2"/>
    <sheet name="Sheet1" sheetId="1" r:id="rId3"/>
    <sheet name="Sheet2" sheetId="2" r:id="rId4"/>
    <sheet name="Sheet3" sheetId="3" r:id="rId5"/>
  </sheets>
  <definedNames>
    <definedName name="_xlnm._FilterDatabase" localSheetId="2" hidden="1">Sheet1!$A$1:$E$74</definedName>
    <definedName name="_xlnm._FilterDatabase" localSheetId="1" hidden="1">'Sheet1 (2)'!$A$1:$H$74</definedName>
    <definedName name="_xlnm._FilterDatabase" localSheetId="0">'Zip Code'!$A$1:$I$74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2" i="4"/>
  <c r="E23" i="3" l="1"/>
  <c r="B23" i="3"/>
  <c r="K11" i="3"/>
  <c r="K12" i="3"/>
  <c r="K13" i="3"/>
  <c r="K14" i="3"/>
  <c r="K10" i="3"/>
  <c r="E15" i="3"/>
  <c r="B15" i="3"/>
  <c r="L14" i="3"/>
  <c r="M14" i="3" s="1"/>
  <c r="N12" i="3"/>
  <c r="C7" i="3"/>
  <c r="D7" i="3"/>
  <c r="E7" i="3"/>
  <c r="B7" i="3"/>
  <c r="E35" i="2"/>
  <c r="F35" i="2" s="1"/>
  <c r="E34" i="2"/>
  <c r="F34" i="2" s="1"/>
  <c r="E32" i="2"/>
  <c r="F32" i="2" s="1"/>
  <c r="G33" i="2"/>
  <c r="F31" i="2"/>
  <c r="E31" i="2"/>
  <c r="D32" i="2"/>
  <c r="D33" i="2"/>
  <c r="D34" i="2"/>
  <c r="D35" i="2"/>
  <c r="D31" i="2"/>
  <c r="C23" i="3" l="1"/>
  <c r="L11" i="3"/>
  <c r="M11" i="3" s="1"/>
  <c r="C15" i="3"/>
  <c r="D15" i="3"/>
  <c r="L10" i="3"/>
  <c r="M10" i="3" s="1"/>
  <c r="L13" i="3"/>
  <c r="M13" i="3" s="1"/>
  <c r="B26" i="2"/>
  <c r="I25" i="2"/>
  <c r="J25" i="2" s="1"/>
  <c r="G25" i="2"/>
  <c r="H25" i="2" s="1"/>
  <c r="F25" i="2"/>
  <c r="D25" i="2"/>
  <c r="E25" i="2" s="1"/>
  <c r="B25" i="2"/>
  <c r="C25" i="2" s="1"/>
  <c r="I24" i="2"/>
  <c r="G24" i="2"/>
  <c r="H24" i="2" s="1"/>
  <c r="F24" i="2"/>
  <c r="D24" i="2"/>
  <c r="D26" i="2" s="1"/>
  <c r="B24" i="2"/>
  <c r="C24" i="2" s="1"/>
  <c r="J22" i="2"/>
  <c r="H22" i="2"/>
  <c r="F22" i="2"/>
  <c r="E22" i="2"/>
  <c r="C22" i="2"/>
  <c r="J20" i="2"/>
  <c r="I20" i="2"/>
  <c r="H20" i="2"/>
  <c r="G20" i="2"/>
  <c r="F20" i="2"/>
  <c r="E20" i="2"/>
  <c r="D20" i="2"/>
  <c r="C20" i="2"/>
  <c r="B20" i="2"/>
  <c r="K19" i="2"/>
  <c r="J17" i="2"/>
  <c r="I17" i="2"/>
  <c r="H17" i="2"/>
  <c r="G17" i="2"/>
  <c r="F17" i="2"/>
  <c r="E17" i="2"/>
  <c r="D17" i="2"/>
  <c r="C17" i="2"/>
  <c r="B17" i="2"/>
  <c r="K16" i="2"/>
  <c r="K15" i="2"/>
  <c r="J13" i="2"/>
  <c r="I13" i="2"/>
  <c r="H13" i="2"/>
  <c r="G13" i="2"/>
  <c r="F13" i="2"/>
  <c r="E13" i="2"/>
  <c r="D13" i="2"/>
  <c r="C13" i="2"/>
  <c r="B13" i="2"/>
  <c r="K12" i="2"/>
  <c r="K11" i="2"/>
  <c r="K10" i="2"/>
  <c r="K9" i="2"/>
  <c r="K8" i="2"/>
  <c r="K7" i="2"/>
  <c r="K6" i="2"/>
  <c r="K5" i="2"/>
  <c r="K4" i="2"/>
  <c r="K3" i="2"/>
  <c r="D23" i="3" l="1"/>
  <c r="K13" i="2"/>
  <c r="C26" i="2"/>
  <c r="I26" i="2"/>
  <c r="H26" i="2"/>
  <c r="G26" i="2"/>
  <c r="E24" i="2"/>
  <c r="E26" i="2" s="1"/>
  <c r="J24" i="2"/>
  <c r="J26" i="2" s="1"/>
</calcChain>
</file>

<file path=xl/sharedStrings.xml><?xml version="1.0" encoding="utf-8"?>
<sst xmlns="http://schemas.openxmlformats.org/spreadsheetml/2006/main" count="1123" uniqueCount="132">
  <si>
    <t>Province</t>
  </si>
  <si>
    <t>LGU</t>
  </si>
  <si>
    <t>Buenavista (AN)</t>
  </si>
  <si>
    <t>Butuan</t>
  </si>
  <si>
    <t>Cabadbaran</t>
  </si>
  <si>
    <t>Carmen (AN)</t>
  </si>
  <si>
    <t>Jabonga</t>
  </si>
  <si>
    <t>Kitcharao</t>
  </si>
  <si>
    <t>Las Nieves</t>
  </si>
  <si>
    <t>Magallanes (AN)</t>
  </si>
  <si>
    <t>Nasipit</t>
  </si>
  <si>
    <t>Remedios T. Romualdez</t>
  </si>
  <si>
    <t>Santiago (AN)</t>
  </si>
  <si>
    <t>Tubay</t>
  </si>
  <si>
    <t>First</t>
  </si>
  <si>
    <t>Highly Urbanized </t>
  </si>
  <si>
    <t>Component </t>
  </si>
  <si>
    <t>Fourth</t>
  </si>
  <si>
    <t>Third</t>
  </si>
  <si>
    <t>Second</t>
  </si>
  <si>
    <t>Fifth</t>
  </si>
  <si>
    <t>Municipality</t>
  </si>
  <si>
    <t>City</t>
  </si>
  <si>
    <t>Classification</t>
  </si>
  <si>
    <t>LGU Type</t>
  </si>
  <si>
    <t>Agusan Del Norte</t>
  </si>
  <si>
    <t>Bayugan</t>
  </si>
  <si>
    <t>Bunawan</t>
  </si>
  <si>
    <t>Esperanza (AS)</t>
  </si>
  <si>
    <t>La Paz (AS)</t>
  </si>
  <si>
    <t>Loreto (AS)</t>
  </si>
  <si>
    <t>Prosperidad</t>
  </si>
  <si>
    <t>Rosario (AS)</t>
  </si>
  <si>
    <t>San Francisco (AS)</t>
  </si>
  <si>
    <t>San Luis (AS)</t>
  </si>
  <si>
    <t>Santa Josefa</t>
  </si>
  <si>
    <t>Sibagat</t>
  </si>
  <si>
    <t>Talacogon</t>
  </si>
  <si>
    <t>Trento</t>
  </si>
  <si>
    <t>Veruela</t>
  </si>
  <si>
    <t>Agusan Del Sur</t>
  </si>
  <si>
    <t>Dinagat Islands</t>
  </si>
  <si>
    <t>Basilisa</t>
  </si>
  <si>
    <t>Cagdianao</t>
  </si>
  <si>
    <t>Dinagat</t>
  </si>
  <si>
    <t>Libjo</t>
  </si>
  <si>
    <t>Loreto (DI)</t>
  </si>
  <si>
    <t>San Jose (DI)</t>
  </si>
  <si>
    <t>Tubajon</t>
  </si>
  <si>
    <t>Alegria (SN)</t>
  </si>
  <si>
    <t>Bacuag</t>
  </si>
  <si>
    <t>Burgos (SN)</t>
  </si>
  <si>
    <t>Claver</t>
  </si>
  <si>
    <t>Dapa</t>
  </si>
  <si>
    <t>Del Carmen</t>
  </si>
  <si>
    <t>General Luna  (SN)</t>
  </si>
  <si>
    <t>Gigaquit</t>
  </si>
  <si>
    <t>Mainit</t>
  </si>
  <si>
    <t>Malimono</t>
  </si>
  <si>
    <t>Pilar (SN)</t>
  </si>
  <si>
    <t>Placer (SN)</t>
  </si>
  <si>
    <t>San Benito</t>
  </si>
  <si>
    <t>San Francisco (SN)</t>
  </si>
  <si>
    <t>San Isidro (SN)</t>
  </si>
  <si>
    <t>Santa Monica</t>
  </si>
  <si>
    <t>Sison (SN)</t>
  </si>
  <si>
    <t>Socorro (SN)</t>
  </si>
  <si>
    <t>Surigao</t>
  </si>
  <si>
    <t>Tagana-An</t>
  </si>
  <si>
    <t>Tubod (SN)</t>
  </si>
  <si>
    <t>Surigao Del Norte</t>
  </si>
  <si>
    <t>Sixth</t>
  </si>
  <si>
    <t>Surigao Del Sur</t>
  </si>
  <si>
    <t>Barobo</t>
  </si>
  <si>
    <t>Bayabas</t>
  </si>
  <si>
    <t>Bislig</t>
  </si>
  <si>
    <t>Cagwait</t>
  </si>
  <si>
    <t>Cantilan</t>
  </si>
  <si>
    <t>Carmen (SS)</t>
  </si>
  <si>
    <t>Carrascal</t>
  </si>
  <si>
    <t>Cortes (SS)</t>
  </si>
  <si>
    <t>Hinatuan</t>
  </si>
  <si>
    <t>Lanuza</t>
  </si>
  <si>
    <t>Lianga</t>
  </si>
  <si>
    <t>Lingig</t>
  </si>
  <si>
    <t>Madrid</t>
  </si>
  <si>
    <t>Marihatag</t>
  </si>
  <si>
    <t>San Agustin (SS)</t>
  </si>
  <si>
    <t>San Miguel (SS)</t>
  </si>
  <si>
    <t>Tagbina</t>
  </si>
  <si>
    <t>Tago</t>
  </si>
  <si>
    <t>Tandag</t>
  </si>
  <si>
    <t>Disrict</t>
  </si>
  <si>
    <t>I</t>
  </si>
  <si>
    <t>Lone</t>
  </si>
  <si>
    <t>II</t>
  </si>
  <si>
    <t>Programs and Project</t>
  </si>
  <si>
    <t>AD N</t>
  </si>
  <si>
    <t>ADS</t>
  </si>
  <si>
    <t>PDI</t>
  </si>
  <si>
    <t>SDN</t>
  </si>
  <si>
    <t>SDS</t>
  </si>
  <si>
    <t>Total</t>
  </si>
  <si>
    <t>District 1</t>
  </si>
  <si>
    <t>District 2</t>
  </si>
  <si>
    <t>Lone District</t>
  </si>
  <si>
    <t>General Management Support</t>
  </si>
  <si>
    <t>Exports and Investments Development Program</t>
  </si>
  <si>
    <t>Industry Development Program</t>
  </si>
  <si>
    <t>Shared Service Facilities Project</t>
  </si>
  <si>
    <t>MSME Development Program</t>
  </si>
  <si>
    <t>Establishment/Maintenance of Negosyo Centers</t>
  </si>
  <si>
    <t>OTOP Next Generation</t>
  </si>
  <si>
    <t>Livelihood Seeding Program - Negosyo Serbisyo sa Barangay</t>
  </si>
  <si>
    <t>Consumer Protection Program</t>
  </si>
  <si>
    <t>Consumer Education and Advocacy Program</t>
  </si>
  <si>
    <t>2015 Population</t>
  </si>
  <si>
    <t>% Share in Pop</t>
  </si>
  <si>
    <t>Business Permit Renewal</t>
  </si>
  <si>
    <t>A DN</t>
  </si>
  <si>
    <t>Tier 1</t>
  </si>
  <si>
    <t>Tier 2</t>
  </si>
  <si>
    <t>province_id</t>
  </si>
  <si>
    <t>lgu_name</t>
  </si>
  <si>
    <t>slug_name</t>
  </si>
  <si>
    <t>created_at</t>
  </si>
  <si>
    <t>updated_at</t>
  </si>
  <si>
    <t>id</t>
  </si>
  <si>
    <t>classification</t>
  </si>
  <si>
    <t>district</t>
  </si>
  <si>
    <t>lgu_type</t>
  </si>
  <si>
    <t>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</si>
</sst>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3" fillId="0" borderId="4" xfId="0" applyFont="1" applyBorder="1" applyAlignment="1">
      <alignment wrapText="1"/>
    </xf>
    <xf numFmtId="43" fontId="0" fillId="0" borderId="4" xfId="1" applyFont="1" applyBorder="1"/>
    <xf numFmtId="43" fontId="0" fillId="0" borderId="4" xfId="0" applyNumberFormat="1" applyBorder="1"/>
    <xf numFmtId="0" fontId="3" fillId="0" borderId="0" xfId="0" applyFont="1" applyAlignment="1">
      <alignment wrapText="1"/>
    </xf>
    <xf numFmtId="43" fontId="0" fillId="0" borderId="0" xfId="0" applyNumberFormat="1"/>
    <xf numFmtId="9" fontId="0" fillId="0" borderId="0" xfId="2" applyFont="1"/>
    <xf numFmtId="9" fontId="0" fillId="0" borderId="0" xfId="0" applyNumberFormat="1"/>
    <xf numFmtId="9" fontId="0" fillId="2" borderId="0" xfId="2" applyFont="1" applyFill="1"/>
    <xf numFmtId="0" fontId="0" fillId="2" borderId="0" xfId="0" applyFill="1"/>
    <xf numFmtId="9" fontId="0" fillId="2" borderId="0" xfId="0" applyNumberFormat="1" applyFill="1"/>
    <xf numFmtId="43" fontId="0" fillId="0" borderId="0" xfId="1" applyFont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CCEC-A6DA-4B9E-888A-46D78493B580}">
  <dimension ref="A1:J74"/>
  <sheetViews>
    <sheetView tabSelected="1" workbookViewId="0">
      <selection activeCell="L16" sqref="L16"/>
    </sheetView>
  </sheetViews>
  <sheetFormatPr defaultRowHeight="15" x14ac:dyDescent="0.25"/>
  <cols>
    <col min="1" max="1" width="16.7109375" bestFit="1" customWidth="1"/>
    <col min="2" max="2" width="22.5703125" bestFit="1" customWidth="1"/>
    <col min="3" max="5" width="22.5703125" customWidth="1"/>
    <col min="6" max="6" width="19.140625" customWidth="1"/>
    <col min="7" max="7" width="17.28515625" bestFit="1" customWidth="1"/>
    <col min="8" max="8" width="11.140625" style="2" bestFit="1" customWidth="1"/>
    <col min="9" max="9" width="14" bestFit="1" customWidth="1"/>
  </cols>
  <sheetData>
    <row r="1" spans="1:10" x14ac:dyDescent="0.25">
      <c r="A1" s="1" t="s">
        <v>127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122</v>
      </c>
      <c r="G1" s="1" t="s">
        <v>128</v>
      </c>
      <c r="H1" s="1" t="s">
        <v>129</v>
      </c>
      <c r="I1" s="1" t="s">
        <v>130</v>
      </c>
      <c r="J1" s="1" t="s">
        <v>131</v>
      </c>
    </row>
    <row r="2" spans="1:10" x14ac:dyDescent="0.25">
      <c r="A2">
        <v>1</v>
      </c>
      <c r="B2" t="s">
        <v>2</v>
      </c>
      <c r="F2">
        <v>1</v>
      </c>
      <c r="G2" t="s">
        <v>14</v>
      </c>
      <c r="H2" s="2" t="s">
        <v>95</v>
      </c>
      <c r="I2" t="s">
        <v>21</v>
      </c>
      <c r="J2">
        <v>8605</v>
      </c>
    </row>
    <row r="3" spans="1:10" x14ac:dyDescent="0.25">
      <c r="A3">
        <v>2</v>
      </c>
      <c r="B3" t="s">
        <v>3</v>
      </c>
      <c r="F3">
        <v>1</v>
      </c>
      <c r="G3" t="s">
        <v>15</v>
      </c>
      <c r="H3" s="2" t="s">
        <v>93</v>
      </c>
      <c r="I3" t="s">
        <v>22</v>
      </c>
      <c r="J3">
        <v>8600</v>
      </c>
    </row>
    <row r="4" spans="1:10" x14ac:dyDescent="0.25">
      <c r="A4">
        <v>3</v>
      </c>
      <c r="B4" t="s">
        <v>4</v>
      </c>
      <c r="F4">
        <v>1</v>
      </c>
      <c r="G4" t="s">
        <v>16</v>
      </c>
      <c r="H4" s="2" t="s">
        <v>95</v>
      </c>
      <c r="I4" t="s">
        <v>22</v>
      </c>
      <c r="J4">
        <v>8605</v>
      </c>
    </row>
    <row r="5" spans="1:10" x14ac:dyDescent="0.25">
      <c r="A5">
        <v>4</v>
      </c>
      <c r="B5" t="s">
        <v>5</v>
      </c>
      <c r="F5">
        <v>1</v>
      </c>
      <c r="G5" t="s">
        <v>17</v>
      </c>
      <c r="H5" s="2" t="s">
        <v>95</v>
      </c>
      <c r="I5" t="s">
        <v>21</v>
      </c>
      <c r="J5">
        <v>8603</v>
      </c>
    </row>
    <row r="6" spans="1:10" x14ac:dyDescent="0.25">
      <c r="A6">
        <v>5</v>
      </c>
      <c r="B6" t="s">
        <v>6</v>
      </c>
      <c r="F6">
        <v>1</v>
      </c>
      <c r="G6" t="s">
        <v>18</v>
      </c>
      <c r="H6" s="2" t="s">
        <v>95</v>
      </c>
      <c r="I6" t="s">
        <v>21</v>
      </c>
      <c r="J6">
        <v>8607</v>
      </c>
    </row>
    <row r="7" spans="1:10" x14ac:dyDescent="0.25">
      <c r="A7">
        <v>6</v>
      </c>
      <c r="B7" t="s">
        <v>7</v>
      </c>
      <c r="F7">
        <v>1</v>
      </c>
      <c r="G7" t="s">
        <v>17</v>
      </c>
      <c r="H7" s="2" t="s">
        <v>95</v>
      </c>
      <c r="I7" t="s">
        <v>21</v>
      </c>
      <c r="J7">
        <v>8609</v>
      </c>
    </row>
    <row r="8" spans="1:10" x14ac:dyDescent="0.25">
      <c r="A8">
        <v>7</v>
      </c>
      <c r="B8" t="s">
        <v>8</v>
      </c>
      <c r="F8">
        <v>1</v>
      </c>
      <c r="G8" t="s">
        <v>19</v>
      </c>
      <c r="H8" s="2" t="s">
        <v>93</v>
      </c>
      <c r="I8" t="s">
        <v>21</v>
      </c>
      <c r="J8">
        <v>8610</v>
      </c>
    </row>
    <row r="9" spans="1:10" x14ac:dyDescent="0.25">
      <c r="A9">
        <v>8</v>
      </c>
      <c r="B9" t="s">
        <v>9</v>
      </c>
      <c r="F9">
        <v>1</v>
      </c>
      <c r="G9" t="s">
        <v>17</v>
      </c>
      <c r="H9" s="2" t="s">
        <v>95</v>
      </c>
      <c r="I9" t="s">
        <v>21</v>
      </c>
      <c r="J9">
        <v>8604</v>
      </c>
    </row>
    <row r="10" spans="1:10" x14ac:dyDescent="0.25">
      <c r="A10">
        <v>9</v>
      </c>
      <c r="B10" t="s">
        <v>10</v>
      </c>
      <c r="F10">
        <v>1</v>
      </c>
      <c r="G10" t="s">
        <v>18</v>
      </c>
      <c r="H10" s="2" t="s">
        <v>95</v>
      </c>
      <c r="I10" t="s">
        <v>21</v>
      </c>
      <c r="J10">
        <v>8602</v>
      </c>
    </row>
    <row r="11" spans="1:10" x14ac:dyDescent="0.25">
      <c r="A11">
        <v>10</v>
      </c>
      <c r="B11" t="s">
        <v>11</v>
      </c>
      <c r="F11">
        <v>1</v>
      </c>
      <c r="G11" t="s">
        <v>20</v>
      </c>
      <c r="H11" s="2" t="s">
        <v>95</v>
      </c>
      <c r="I11" t="s">
        <v>21</v>
      </c>
      <c r="J11">
        <v>8611</v>
      </c>
    </row>
    <row r="12" spans="1:10" x14ac:dyDescent="0.25">
      <c r="A12">
        <v>11</v>
      </c>
      <c r="B12" t="s">
        <v>12</v>
      </c>
      <c r="F12">
        <v>1</v>
      </c>
      <c r="G12" t="s">
        <v>17</v>
      </c>
      <c r="H12" s="2" t="s">
        <v>95</v>
      </c>
      <c r="I12" t="s">
        <v>21</v>
      </c>
      <c r="J12">
        <v>8608</v>
      </c>
    </row>
    <row r="13" spans="1:10" x14ac:dyDescent="0.25">
      <c r="A13">
        <v>12</v>
      </c>
      <c r="B13" t="s">
        <v>13</v>
      </c>
      <c r="F13">
        <v>1</v>
      </c>
      <c r="G13" t="s">
        <v>17</v>
      </c>
      <c r="H13" s="2" t="s">
        <v>95</v>
      </c>
      <c r="I13" t="s">
        <v>21</v>
      </c>
      <c r="J13">
        <v>8606</v>
      </c>
    </row>
    <row r="14" spans="1:10" x14ac:dyDescent="0.25">
      <c r="A14">
        <v>13</v>
      </c>
      <c r="B14" t="s">
        <v>26</v>
      </c>
      <c r="F14">
        <v>2</v>
      </c>
      <c r="G14" t="s">
        <v>16</v>
      </c>
      <c r="H14" s="2" t="s">
        <v>93</v>
      </c>
      <c r="I14" t="s">
        <v>22</v>
      </c>
      <c r="J14">
        <v>8502</v>
      </c>
    </row>
    <row r="15" spans="1:10" x14ac:dyDescent="0.25">
      <c r="A15">
        <v>14</v>
      </c>
      <c r="B15" t="s">
        <v>27</v>
      </c>
      <c r="F15">
        <v>2</v>
      </c>
      <c r="G15" t="s">
        <v>14</v>
      </c>
      <c r="H15" s="2" t="s">
        <v>95</v>
      </c>
      <c r="I15" t="s">
        <v>21</v>
      </c>
      <c r="J15">
        <v>8506</v>
      </c>
    </row>
    <row r="16" spans="1:10" x14ac:dyDescent="0.25">
      <c r="A16">
        <v>15</v>
      </c>
      <c r="B16" t="s">
        <v>28</v>
      </c>
      <c r="F16">
        <v>2</v>
      </c>
      <c r="G16" t="s">
        <v>14</v>
      </c>
      <c r="H16" s="2" t="s">
        <v>93</v>
      </c>
      <c r="I16" t="s">
        <v>21</v>
      </c>
      <c r="J16">
        <v>8513</v>
      </c>
    </row>
    <row r="17" spans="1:10" x14ac:dyDescent="0.25">
      <c r="A17">
        <v>16</v>
      </c>
      <c r="B17" t="s">
        <v>29</v>
      </c>
      <c r="F17">
        <v>2</v>
      </c>
      <c r="G17" t="s">
        <v>14</v>
      </c>
      <c r="H17" s="2" t="s">
        <v>95</v>
      </c>
      <c r="I17" t="s">
        <v>21</v>
      </c>
      <c r="J17">
        <v>8508</v>
      </c>
    </row>
    <row r="18" spans="1:10" x14ac:dyDescent="0.25">
      <c r="A18">
        <v>17</v>
      </c>
      <c r="B18" t="s">
        <v>30</v>
      </c>
      <c r="F18">
        <v>2</v>
      </c>
      <c r="G18" t="s">
        <v>14</v>
      </c>
      <c r="H18" s="2" t="s">
        <v>95</v>
      </c>
      <c r="I18" t="s">
        <v>21</v>
      </c>
      <c r="J18">
        <v>8507</v>
      </c>
    </row>
    <row r="19" spans="1:10" x14ac:dyDescent="0.25">
      <c r="A19">
        <v>18</v>
      </c>
      <c r="B19" t="s">
        <v>31</v>
      </c>
      <c r="F19">
        <v>2</v>
      </c>
      <c r="G19" t="s">
        <v>14</v>
      </c>
      <c r="H19" s="2" t="s">
        <v>93</v>
      </c>
      <c r="I19" t="s">
        <v>21</v>
      </c>
      <c r="J19">
        <v>8500</v>
      </c>
    </row>
    <row r="20" spans="1:10" x14ac:dyDescent="0.25">
      <c r="A20">
        <v>19</v>
      </c>
      <c r="B20" t="s">
        <v>32</v>
      </c>
      <c r="F20">
        <v>2</v>
      </c>
      <c r="G20" t="s">
        <v>19</v>
      </c>
      <c r="H20" s="2" t="s">
        <v>95</v>
      </c>
      <c r="I20" t="s">
        <v>21</v>
      </c>
      <c r="J20">
        <v>8504</v>
      </c>
    </row>
    <row r="21" spans="1:10" x14ac:dyDescent="0.25">
      <c r="A21">
        <v>20</v>
      </c>
      <c r="B21" t="s">
        <v>33</v>
      </c>
      <c r="F21">
        <v>2</v>
      </c>
      <c r="G21" t="s">
        <v>14</v>
      </c>
      <c r="H21" s="2" t="s">
        <v>95</v>
      </c>
      <c r="I21" t="s">
        <v>21</v>
      </c>
      <c r="J21">
        <v>8501</v>
      </c>
    </row>
    <row r="22" spans="1:10" x14ac:dyDescent="0.25">
      <c r="A22">
        <v>21</v>
      </c>
      <c r="B22" t="s">
        <v>34</v>
      </c>
      <c r="F22">
        <v>2</v>
      </c>
      <c r="G22" t="s">
        <v>14</v>
      </c>
      <c r="H22" s="2" t="s">
        <v>93</v>
      </c>
      <c r="I22" t="s">
        <v>21</v>
      </c>
      <c r="J22">
        <v>8511</v>
      </c>
    </row>
    <row r="23" spans="1:10" x14ac:dyDescent="0.25">
      <c r="A23">
        <v>22</v>
      </c>
      <c r="B23" t="s">
        <v>35</v>
      </c>
      <c r="F23">
        <v>2</v>
      </c>
      <c r="G23" t="s">
        <v>18</v>
      </c>
      <c r="H23" s="2" t="s">
        <v>95</v>
      </c>
      <c r="I23" t="s">
        <v>21</v>
      </c>
      <c r="J23">
        <v>8512</v>
      </c>
    </row>
    <row r="24" spans="1:10" x14ac:dyDescent="0.25">
      <c r="A24">
        <v>23</v>
      </c>
      <c r="B24" t="s">
        <v>36</v>
      </c>
      <c r="F24">
        <v>2</v>
      </c>
      <c r="G24" t="s">
        <v>14</v>
      </c>
      <c r="H24" s="2" t="s">
        <v>93</v>
      </c>
      <c r="I24" t="s">
        <v>21</v>
      </c>
      <c r="J24">
        <v>8503</v>
      </c>
    </row>
    <row r="25" spans="1:10" x14ac:dyDescent="0.25">
      <c r="A25">
        <v>24</v>
      </c>
      <c r="B25" t="s">
        <v>37</v>
      </c>
      <c r="F25">
        <v>2</v>
      </c>
      <c r="G25" t="s">
        <v>19</v>
      </c>
      <c r="H25" s="2" t="s">
        <v>93</v>
      </c>
      <c r="I25" t="s">
        <v>21</v>
      </c>
      <c r="J25">
        <v>8510</v>
      </c>
    </row>
    <row r="26" spans="1:10" x14ac:dyDescent="0.25">
      <c r="A26">
        <v>25</v>
      </c>
      <c r="B26" t="s">
        <v>38</v>
      </c>
      <c r="F26">
        <v>2</v>
      </c>
      <c r="G26" t="s">
        <v>14</v>
      </c>
      <c r="H26" s="2" t="s">
        <v>95</v>
      </c>
      <c r="I26" t="s">
        <v>21</v>
      </c>
      <c r="J26">
        <v>8505</v>
      </c>
    </row>
    <row r="27" spans="1:10" x14ac:dyDescent="0.25">
      <c r="A27">
        <v>26</v>
      </c>
      <c r="B27" t="s">
        <v>39</v>
      </c>
      <c r="F27">
        <v>2</v>
      </c>
      <c r="G27" t="s">
        <v>19</v>
      </c>
      <c r="H27" s="2" t="s">
        <v>95</v>
      </c>
      <c r="I27" t="s">
        <v>21</v>
      </c>
      <c r="J27">
        <v>8509</v>
      </c>
    </row>
    <row r="28" spans="1:10" x14ac:dyDescent="0.25">
      <c r="A28">
        <v>27</v>
      </c>
      <c r="B28" t="s">
        <v>42</v>
      </c>
      <c r="F28">
        <v>5</v>
      </c>
      <c r="G28" t="s">
        <v>17</v>
      </c>
      <c r="H28" s="2" t="s">
        <v>94</v>
      </c>
      <c r="I28" t="s">
        <v>21</v>
      </c>
      <c r="J28">
        <v>8413</v>
      </c>
    </row>
    <row r="29" spans="1:10" x14ac:dyDescent="0.25">
      <c r="A29">
        <v>28</v>
      </c>
      <c r="B29" t="s">
        <v>43</v>
      </c>
      <c r="F29">
        <v>5</v>
      </c>
      <c r="G29" t="s">
        <v>18</v>
      </c>
      <c r="H29" s="2" t="s">
        <v>94</v>
      </c>
      <c r="I29" t="s">
        <v>21</v>
      </c>
      <c r="J29">
        <v>8411</v>
      </c>
    </row>
    <row r="30" spans="1:10" x14ac:dyDescent="0.25">
      <c r="A30">
        <v>29</v>
      </c>
      <c r="B30" t="s">
        <v>44</v>
      </c>
      <c r="F30">
        <v>5</v>
      </c>
      <c r="G30" t="s">
        <v>20</v>
      </c>
      <c r="H30" s="2" t="s">
        <v>94</v>
      </c>
      <c r="I30" t="s">
        <v>21</v>
      </c>
      <c r="J30">
        <v>8412</v>
      </c>
    </row>
    <row r="31" spans="1:10" x14ac:dyDescent="0.25">
      <c r="A31">
        <v>30</v>
      </c>
      <c r="B31" t="s">
        <v>45</v>
      </c>
      <c r="F31">
        <v>5</v>
      </c>
      <c r="G31" t="s">
        <v>20</v>
      </c>
      <c r="H31" s="2" t="s">
        <v>94</v>
      </c>
      <c r="I31" t="s">
        <v>21</v>
      </c>
      <c r="J31">
        <v>8414</v>
      </c>
    </row>
    <row r="32" spans="1:10" x14ac:dyDescent="0.25">
      <c r="A32">
        <v>31</v>
      </c>
      <c r="B32" t="s">
        <v>46</v>
      </c>
      <c r="F32">
        <v>5</v>
      </c>
      <c r="G32" t="s">
        <v>17</v>
      </c>
      <c r="H32" s="2" t="s">
        <v>94</v>
      </c>
      <c r="I32" t="s">
        <v>21</v>
      </c>
      <c r="J32">
        <v>8415</v>
      </c>
    </row>
    <row r="33" spans="1:10" x14ac:dyDescent="0.25">
      <c r="A33">
        <v>32</v>
      </c>
      <c r="B33" t="s">
        <v>47</v>
      </c>
      <c r="F33">
        <v>5</v>
      </c>
      <c r="G33" t="s">
        <v>17</v>
      </c>
      <c r="H33" s="2" t="s">
        <v>94</v>
      </c>
      <c r="I33" t="s">
        <v>21</v>
      </c>
      <c r="J33">
        <v>8427</v>
      </c>
    </row>
    <row r="34" spans="1:10" x14ac:dyDescent="0.25">
      <c r="A34">
        <v>33</v>
      </c>
      <c r="B34" t="s">
        <v>48</v>
      </c>
      <c r="F34">
        <v>5</v>
      </c>
      <c r="G34" t="s">
        <v>20</v>
      </c>
      <c r="H34" s="2" t="s">
        <v>94</v>
      </c>
      <c r="I34" t="s">
        <v>21</v>
      </c>
      <c r="J34">
        <v>8426</v>
      </c>
    </row>
    <row r="35" spans="1:10" x14ac:dyDescent="0.25">
      <c r="A35">
        <v>34</v>
      </c>
      <c r="B35" t="s">
        <v>49</v>
      </c>
      <c r="F35">
        <v>3</v>
      </c>
      <c r="G35" t="s">
        <v>20</v>
      </c>
      <c r="H35" s="2" t="s">
        <v>95</v>
      </c>
      <c r="I35" t="s">
        <v>21</v>
      </c>
      <c r="J35">
        <v>8425</v>
      </c>
    </row>
    <row r="36" spans="1:10" x14ac:dyDescent="0.25">
      <c r="A36">
        <v>35</v>
      </c>
      <c r="B36" t="s">
        <v>50</v>
      </c>
      <c r="F36">
        <v>3</v>
      </c>
      <c r="G36" t="s">
        <v>20</v>
      </c>
      <c r="H36" s="2" t="s">
        <v>95</v>
      </c>
      <c r="I36" t="s">
        <v>21</v>
      </c>
      <c r="J36">
        <v>8408</v>
      </c>
    </row>
    <row r="37" spans="1:10" x14ac:dyDescent="0.25">
      <c r="A37">
        <v>36</v>
      </c>
      <c r="B37" t="s">
        <v>51</v>
      </c>
      <c r="F37">
        <v>3</v>
      </c>
      <c r="G37" t="s">
        <v>71</v>
      </c>
      <c r="H37" s="2" t="s">
        <v>93</v>
      </c>
      <c r="I37" t="s">
        <v>21</v>
      </c>
      <c r="J37">
        <v>8424</v>
      </c>
    </row>
    <row r="38" spans="1:10" x14ac:dyDescent="0.25">
      <c r="A38">
        <v>37</v>
      </c>
      <c r="B38" t="s">
        <v>52</v>
      </c>
      <c r="F38">
        <v>3</v>
      </c>
      <c r="G38" t="s">
        <v>19</v>
      </c>
      <c r="H38" s="2" t="s">
        <v>95</v>
      </c>
      <c r="I38" t="s">
        <v>21</v>
      </c>
      <c r="J38">
        <v>8410</v>
      </c>
    </row>
    <row r="39" spans="1:10" x14ac:dyDescent="0.25">
      <c r="A39">
        <v>38</v>
      </c>
      <c r="B39" t="s">
        <v>53</v>
      </c>
      <c r="F39">
        <v>3</v>
      </c>
      <c r="G39" t="s">
        <v>17</v>
      </c>
      <c r="H39" s="2" t="s">
        <v>93</v>
      </c>
      <c r="I39" t="s">
        <v>21</v>
      </c>
      <c r="J39">
        <v>8417</v>
      </c>
    </row>
    <row r="40" spans="1:10" x14ac:dyDescent="0.25">
      <c r="A40">
        <v>39</v>
      </c>
      <c r="B40" t="s">
        <v>54</v>
      </c>
      <c r="F40">
        <v>3</v>
      </c>
      <c r="G40" t="s">
        <v>20</v>
      </c>
      <c r="H40" s="2" t="s">
        <v>93</v>
      </c>
      <c r="I40" t="s">
        <v>21</v>
      </c>
      <c r="J40">
        <v>8418</v>
      </c>
    </row>
    <row r="41" spans="1:10" x14ac:dyDescent="0.25">
      <c r="A41">
        <v>40</v>
      </c>
      <c r="B41" t="s">
        <v>55</v>
      </c>
      <c r="F41">
        <v>3</v>
      </c>
      <c r="G41" t="s">
        <v>20</v>
      </c>
      <c r="H41" s="2" t="s">
        <v>93</v>
      </c>
      <c r="I41" t="s">
        <v>21</v>
      </c>
      <c r="J41">
        <v>8419</v>
      </c>
    </row>
    <row r="42" spans="1:10" x14ac:dyDescent="0.25">
      <c r="A42">
        <v>41</v>
      </c>
      <c r="B42" t="s">
        <v>56</v>
      </c>
      <c r="F42">
        <v>3</v>
      </c>
      <c r="G42" t="s">
        <v>17</v>
      </c>
      <c r="H42" s="2" t="s">
        <v>95</v>
      </c>
      <c r="I42" t="s">
        <v>21</v>
      </c>
      <c r="J42">
        <v>8409</v>
      </c>
    </row>
    <row r="43" spans="1:10" x14ac:dyDescent="0.25">
      <c r="A43">
        <v>42</v>
      </c>
      <c r="B43" t="s">
        <v>57</v>
      </c>
      <c r="F43">
        <v>3</v>
      </c>
      <c r="G43" t="s">
        <v>17</v>
      </c>
      <c r="H43" s="2" t="s">
        <v>95</v>
      </c>
      <c r="I43" t="s">
        <v>21</v>
      </c>
      <c r="J43">
        <v>8407</v>
      </c>
    </row>
    <row r="44" spans="1:10" x14ac:dyDescent="0.25">
      <c r="A44">
        <v>43</v>
      </c>
      <c r="B44" t="s">
        <v>58</v>
      </c>
      <c r="F44">
        <v>3</v>
      </c>
      <c r="G44" t="s">
        <v>20</v>
      </c>
      <c r="H44" s="2" t="s">
        <v>95</v>
      </c>
      <c r="I44" t="s">
        <v>21</v>
      </c>
      <c r="J44">
        <v>8402</v>
      </c>
    </row>
    <row r="45" spans="1:10" x14ac:dyDescent="0.25">
      <c r="A45">
        <v>44</v>
      </c>
      <c r="B45" t="s">
        <v>59</v>
      </c>
      <c r="F45">
        <v>3</v>
      </c>
      <c r="G45" t="s">
        <v>20</v>
      </c>
      <c r="H45" s="2" t="s">
        <v>93</v>
      </c>
      <c r="I45" t="s">
        <v>21</v>
      </c>
      <c r="J45">
        <v>8420</v>
      </c>
    </row>
    <row r="46" spans="1:10" x14ac:dyDescent="0.25">
      <c r="A46">
        <v>45</v>
      </c>
      <c r="B46" t="s">
        <v>60</v>
      </c>
      <c r="F46">
        <v>3</v>
      </c>
      <c r="G46" t="s">
        <v>17</v>
      </c>
      <c r="H46" s="2" t="s">
        <v>95</v>
      </c>
      <c r="I46" t="s">
        <v>21</v>
      </c>
      <c r="J46">
        <v>8405</v>
      </c>
    </row>
    <row r="47" spans="1:10" x14ac:dyDescent="0.25">
      <c r="A47">
        <v>46</v>
      </c>
      <c r="B47" t="s">
        <v>61</v>
      </c>
      <c r="F47">
        <v>3</v>
      </c>
      <c r="G47" t="s">
        <v>71</v>
      </c>
      <c r="H47" s="2" t="s">
        <v>93</v>
      </c>
      <c r="I47" t="s">
        <v>21</v>
      </c>
      <c r="J47">
        <v>8423</v>
      </c>
    </row>
    <row r="48" spans="1:10" x14ac:dyDescent="0.25">
      <c r="A48">
        <v>47</v>
      </c>
      <c r="B48" t="s">
        <v>62</v>
      </c>
      <c r="F48">
        <v>3</v>
      </c>
      <c r="G48" t="s">
        <v>20</v>
      </c>
      <c r="H48" s="2" t="s">
        <v>95</v>
      </c>
      <c r="I48" t="s">
        <v>21</v>
      </c>
      <c r="J48">
        <v>8401</v>
      </c>
    </row>
    <row r="49" spans="1:10" x14ac:dyDescent="0.25">
      <c r="A49">
        <v>48</v>
      </c>
      <c r="B49" t="s">
        <v>63</v>
      </c>
      <c r="F49">
        <v>3</v>
      </c>
      <c r="G49" t="s">
        <v>20</v>
      </c>
      <c r="H49" s="2" t="s">
        <v>93</v>
      </c>
      <c r="I49" t="s">
        <v>21</v>
      </c>
      <c r="J49">
        <v>8421</v>
      </c>
    </row>
    <row r="50" spans="1:10" x14ac:dyDescent="0.25">
      <c r="A50">
        <v>49</v>
      </c>
      <c r="B50" t="s">
        <v>64</v>
      </c>
      <c r="F50">
        <v>3</v>
      </c>
      <c r="G50" t="s">
        <v>20</v>
      </c>
      <c r="H50" s="2" t="s">
        <v>93</v>
      </c>
      <c r="I50" t="s">
        <v>21</v>
      </c>
      <c r="J50">
        <v>8422</v>
      </c>
    </row>
    <row r="51" spans="1:10" x14ac:dyDescent="0.25">
      <c r="A51">
        <v>50</v>
      </c>
      <c r="B51" t="s">
        <v>65</v>
      </c>
      <c r="F51">
        <v>3</v>
      </c>
      <c r="G51" t="s">
        <v>20</v>
      </c>
      <c r="H51" s="2" t="s">
        <v>95</v>
      </c>
      <c r="I51" t="s">
        <v>21</v>
      </c>
      <c r="J51">
        <v>8404</v>
      </c>
    </row>
    <row r="52" spans="1:10" x14ac:dyDescent="0.25">
      <c r="A52">
        <v>51</v>
      </c>
      <c r="B52" t="s">
        <v>66</v>
      </c>
      <c r="F52">
        <v>3</v>
      </c>
      <c r="G52" t="s">
        <v>17</v>
      </c>
      <c r="H52" s="2" t="s">
        <v>93</v>
      </c>
      <c r="I52" t="s">
        <v>21</v>
      </c>
      <c r="J52">
        <v>8416</v>
      </c>
    </row>
    <row r="53" spans="1:10" x14ac:dyDescent="0.25">
      <c r="A53">
        <v>52</v>
      </c>
      <c r="B53" t="s">
        <v>67</v>
      </c>
      <c r="F53">
        <v>3</v>
      </c>
      <c r="G53" t="s">
        <v>16</v>
      </c>
      <c r="H53" s="2" t="s">
        <v>95</v>
      </c>
      <c r="I53" t="s">
        <v>22</v>
      </c>
      <c r="J53">
        <v>8400</v>
      </c>
    </row>
    <row r="54" spans="1:10" x14ac:dyDescent="0.25">
      <c r="A54">
        <v>53</v>
      </c>
      <c r="B54" t="s">
        <v>68</v>
      </c>
      <c r="F54">
        <v>3</v>
      </c>
      <c r="G54" t="s">
        <v>20</v>
      </c>
      <c r="H54" s="2" t="s">
        <v>95</v>
      </c>
      <c r="I54" t="s">
        <v>21</v>
      </c>
      <c r="J54">
        <v>8403</v>
      </c>
    </row>
    <row r="55" spans="1:10" x14ac:dyDescent="0.25">
      <c r="A55">
        <v>54</v>
      </c>
      <c r="B55" t="s">
        <v>69</v>
      </c>
      <c r="F55">
        <v>3</v>
      </c>
      <c r="G55" t="s">
        <v>20</v>
      </c>
      <c r="H55" s="2" t="s">
        <v>95</v>
      </c>
      <c r="I55" t="s">
        <v>21</v>
      </c>
      <c r="J55">
        <v>8406</v>
      </c>
    </row>
    <row r="56" spans="1:10" x14ac:dyDescent="0.25">
      <c r="A56">
        <v>55</v>
      </c>
      <c r="B56" t="s">
        <v>73</v>
      </c>
      <c r="F56">
        <v>4</v>
      </c>
      <c r="G56" t="s">
        <v>18</v>
      </c>
      <c r="H56" s="2" t="s">
        <v>95</v>
      </c>
      <c r="I56" t="s">
        <v>21</v>
      </c>
      <c r="J56">
        <v>8309</v>
      </c>
    </row>
    <row r="57" spans="1:10" x14ac:dyDescent="0.25">
      <c r="A57">
        <v>56</v>
      </c>
      <c r="B57" t="s">
        <v>74</v>
      </c>
      <c r="F57">
        <v>4</v>
      </c>
      <c r="G57" t="s">
        <v>20</v>
      </c>
      <c r="H57" s="2" t="s">
        <v>93</v>
      </c>
      <c r="I57" t="s">
        <v>21</v>
      </c>
      <c r="J57">
        <v>8303</v>
      </c>
    </row>
    <row r="58" spans="1:10" x14ac:dyDescent="0.25">
      <c r="A58">
        <v>57</v>
      </c>
      <c r="B58" t="s">
        <v>75</v>
      </c>
      <c r="F58">
        <v>4</v>
      </c>
      <c r="G58" t="s">
        <v>16</v>
      </c>
      <c r="H58" s="2" t="s">
        <v>95</v>
      </c>
      <c r="I58" t="s">
        <v>22</v>
      </c>
      <c r="J58">
        <v>8311</v>
      </c>
    </row>
    <row r="59" spans="1:10" x14ac:dyDescent="0.25">
      <c r="A59">
        <v>58</v>
      </c>
      <c r="B59" t="s">
        <v>76</v>
      </c>
      <c r="F59">
        <v>4</v>
      </c>
      <c r="G59" t="s">
        <v>17</v>
      </c>
      <c r="H59" s="2" t="s">
        <v>93</v>
      </c>
      <c r="I59" t="s">
        <v>21</v>
      </c>
      <c r="J59">
        <v>8304</v>
      </c>
    </row>
    <row r="60" spans="1:10" x14ac:dyDescent="0.25">
      <c r="A60">
        <v>59</v>
      </c>
      <c r="B60" t="s">
        <v>77</v>
      </c>
      <c r="F60">
        <v>4</v>
      </c>
      <c r="G60" t="s">
        <v>19</v>
      </c>
      <c r="H60" s="2" t="s">
        <v>93</v>
      </c>
      <c r="I60" t="s">
        <v>21</v>
      </c>
      <c r="J60">
        <v>8317</v>
      </c>
    </row>
    <row r="61" spans="1:10" x14ac:dyDescent="0.25">
      <c r="A61">
        <v>60</v>
      </c>
      <c r="B61" t="s">
        <v>78</v>
      </c>
      <c r="F61">
        <v>4</v>
      </c>
      <c r="G61" t="s">
        <v>20</v>
      </c>
      <c r="H61" s="2" t="s">
        <v>93</v>
      </c>
      <c r="I61" t="s">
        <v>21</v>
      </c>
      <c r="J61">
        <v>8315</v>
      </c>
    </row>
    <row r="62" spans="1:10" x14ac:dyDescent="0.25">
      <c r="A62">
        <v>61</v>
      </c>
      <c r="B62" t="s">
        <v>79</v>
      </c>
      <c r="F62">
        <v>4</v>
      </c>
      <c r="G62" t="s">
        <v>17</v>
      </c>
      <c r="H62" s="2" t="s">
        <v>93</v>
      </c>
      <c r="I62" t="s">
        <v>21</v>
      </c>
      <c r="J62">
        <v>8318</v>
      </c>
    </row>
    <row r="63" spans="1:10" x14ac:dyDescent="0.25">
      <c r="A63">
        <v>62</v>
      </c>
      <c r="B63" t="s">
        <v>80</v>
      </c>
      <c r="F63">
        <v>4</v>
      </c>
      <c r="G63" t="s">
        <v>17</v>
      </c>
      <c r="H63" s="2" t="s">
        <v>93</v>
      </c>
      <c r="I63" t="s">
        <v>21</v>
      </c>
      <c r="J63">
        <v>8313</v>
      </c>
    </row>
    <row r="64" spans="1:10" x14ac:dyDescent="0.25">
      <c r="A64">
        <v>63</v>
      </c>
      <c r="B64" t="s">
        <v>81</v>
      </c>
      <c r="F64">
        <v>4</v>
      </c>
      <c r="G64" t="s">
        <v>19</v>
      </c>
      <c r="H64" s="2" t="s">
        <v>95</v>
      </c>
      <c r="I64" t="s">
        <v>21</v>
      </c>
      <c r="J64">
        <v>8310</v>
      </c>
    </row>
    <row r="65" spans="1:10" x14ac:dyDescent="0.25">
      <c r="A65">
        <v>64</v>
      </c>
      <c r="B65" t="s">
        <v>82</v>
      </c>
      <c r="F65">
        <v>4</v>
      </c>
      <c r="G65" t="s">
        <v>17</v>
      </c>
      <c r="H65" s="2" t="s">
        <v>93</v>
      </c>
      <c r="I65" t="s">
        <v>21</v>
      </c>
      <c r="J65">
        <v>8314</v>
      </c>
    </row>
    <row r="66" spans="1:10" x14ac:dyDescent="0.25">
      <c r="A66">
        <v>65</v>
      </c>
      <c r="B66" t="s">
        <v>83</v>
      </c>
      <c r="F66">
        <v>4</v>
      </c>
      <c r="G66" t="s">
        <v>17</v>
      </c>
      <c r="H66" s="2" t="s">
        <v>93</v>
      </c>
      <c r="I66" t="s">
        <v>21</v>
      </c>
      <c r="J66">
        <v>8307</v>
      </c>
    </row>
    <row r="67" spans="1:10" x14ac:dyDescent="0.25">
      <c r="A67">
        <v>66</v>
      </c>
      <c r="B67" t="s">
        <v>84</v>
      </c>
      <c r="F67">
        <v>4</v>
      </c>
      <c r="G67" t="s">
        <v>19</v>
      </c>
      <c r="H67" s="2" t="s">
        <v>95</v>
      </c>
      <c r="I67" t="s">
        <v>21</v>
      </c>
      <c r="J67">
        <v>8312</v>
      </c>
    </row>
    <row r="68" spans="1:10" x14ac:dyDescent="0.25">
      <c r="A68">
        <v>67</v>
      </c>
      <c r="B68" t="s">
        <v>85</v>
      </c>
      <c r="F68">
        <v>4</v>
      </c>
      <c r="G68" t="s">
        <v>17</v>
      </c>
      <c r="H68" s="2" t="s">
        <v>93</v>
      </c>
      <c r="I68" t="s">
        <v>21</v>
      </c>
      <c r="J68">
        <v>8316</v>
      </c>
    </row>
    <row r="69" spans="1:10" x14ac:dyDescent="0.25">
      <c r="A69">
        <v>68</v>
      </c>
      <c r="B69" t="s">
        <v>86</v>
      </c>
      <c r="F69">
        <v>4</v>
      </c>
      <c r="G69" t="s">
        <v>18</v>
      </c>
      <c r="H69" s="2" t="s">
        <v>93</v>
      </c>
      <c r="I69" t="s">
        <v>21</v>
      </c>
      <c r="J69">
        <v>8306</v>
      </c>
    </row>
    <row r="70" spans="1:10" x14ac:dyDescent="0.25">
      <c r="A70">
        <v>69</v>
      </c>
      <c r="B70" t="s">
        <v>87</v>
      </c>
      <c r="F70">
        <v>4</v>
      </c>
      <c r="G70" t="s">
        <v>17</v>
      </c>
      <c r="H70" s="2" t="s">
        <v>93</v>
      </c>
      <c r="I70" t="s">
        <v>21</v>
      </c>
      <c r="J70">
        <v>8305</v>
      </c>
    </row>
    <row r="71" spans="1:10" x14ac:dyDescent="0.25">
      <c r="A71">
        <v>70</v>
      </c>
      <c r="B71" t="s">
        <v>88</v>
      </c>
      <c r="F71">
        <v>4</v>
      </c>
      <c r="G71" t="s">
        <v>14</v>
      </c>
      <c r="H71" s="2" t="s">
        <v>93</v>
      </c>
      <c r="I71" t="s">
        <v>21</v>
      </c>
      <c r="J71">
        <v>8301</v>
      </c>
    </row>
    <row r="72" spans="1:10" x14ac:dyDescent="0.25">
      <c r="A72">
        <v>71</v>
      </c>
      <c r="B72" t="s">
        <v>89</v>
      </c>
      <c r="F72">
        <v>4</v>
      </c>
      <c r="G72" t="s">
        <v>19</v>
      </c>
      <c r="H72" s="2" t="s">
        <v>95</v>
      </c>
      <c r="I72" t="s">
        <v>21</v>
      </c>
      <c r="J72">
        <v>8308</v>
      </c>
    </row>
    <row r="73" spans="1:10" x14ac:dyDescent="0.25">
      <c r="A73">
        <v>72</v>
      </c>
      <c r="B73" t="s">
        <v>90</v>
      </c>
      <c r="F73">
        <v>4</v>
      </c>
      <c r="G73" t="s">
        <v>19</v>
      </c>
      <c r="H73" s="2" t="s">
        <v>93</v>
      </c>
      <c r="I73" t="s">
        <v>21</v>
      </c>
      <c r="J73">
        <v>8302</v>
      </c>
    </row>
    <row r="74" spans="1:10" x14ac:dyDescent="0.25">
      <c r="A74">
        <v>73</v>
      </c>
      <c r="B74" t="s">
        <v>91</v>
      </c>
      <c r="F74">
        <v>4</v>
      </c>
      <c r="G74" t="s">
        <v>16</v>
      </c>
      <c r="H74" s="2" t="s">
        <v>93</v>
      </c>
      <c r="I74" t="s">
        <v>22</v>
      </c>
      <c r="J74">
        <v>8300</v>
      </c>
    </row>
  </sheetData>
  <autoFilter ref="A1:I74" xr:uid="{00000000-0009-0000-0000-000000000000}">
    <sortState xmlns:xlrd2="http://schemas.microsoft.com/office/spreadsheetml/2017/richdata2" ref="A2:I13">
      <sortCondition ref="B1:B74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3727-95F0-4BF5-A39F-7693D7542C9F}">
  <dimension ref="A1:J74"/>
  <sheetViews>
    <sheetView zoomScale="90" zoomScaleNormal="90" workbookViewId="0">
      <selection activeCell="J28" sqref="J28"/>
    </sheetView>
  </sheetViews>
  <sheetFormatPr defaultRowHeight="15" x14ac:dyDescent="0.25"/>
  <cols>
    <col min="1" max="1" width="16.7109375" bestFit="1" customWidth="1"/>
    <col min="2" max="2" width="22.5703125" bestFit="1" customWidth="1"/>
    <col min="3" max="3" width="17.28515625" customWidth="1"/>
    <col min="4" max="4" width="14" customWidth="1"/>
    <col min="5" max="5" width="11.140625" style="2" customWidth="1"/>
    <col min="6" max="6" width="9.140625" customWidth="1"/>
  </cols>
  <sheetData>
    <row r="1" spans="1:10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92</v>
      </c>
      <c r="G1">
        <v>2021</v>
      </c>
      <c r="H1">
        <v>2022</v>
      </c>
    </row>
    <row r="2" spans="1:10" x14ac:dyDescent="0.25">
      <c r="A2" t="s">
        <v>25</v>
      </c>
      <c r="B2" t="s">
        <v>2</v>
      </c>
      <c r="C2" t="s">
        <v>14</v>
      </c>
      <c r="D2" t="s">
        <v>21</v>
      </c>
      <c r="E2" s="2" t="s">
        <v>95</v>
      </c>
      <c r="G2">
        <v>75</v>
      </c>
      <c r="H2">
        <v>259</v>
      </c>
      <c r="J2">
        <f>H2-G2</f>
        <v>184</v>
      </c>
    </row>
    <row r="3" spans="1:10" x14ac:dyDescent="0.25">
      <c r="A3" t="s">
        <v>25</v>
      </c>
      <c r="B3" t="s">
        <v>3</v>
      </c>
      <c r="C3" t="s">
        <v>15</v>
      </c>
      <c r="D3" t="s">
        <v>22</v>
      </c>
      <c r="E3" s="2" t="s">
        <v>93</v>
      </c>
      <c r="J3">
        <f t="shared" ref="J3:J66" si="0">H3-G3</f>
        <v>0</v>
      </c>
    </row>
    <row r="4" spans="1:10" x14ac:dyDescent="0.25">
      <c r="A4" t="s">
        <v>25</v>
      </c>
      <c r="B4" t="s">
        <v>4</v>
      </c>
      <c r="C4" t="s">
        <v>16</v>
      </c>
      <c r="D4" t="s">
        <v>22</v>
      </c>
      <c r="E4" s="2" t="s">
        <v>95</v>
      </c>
      <c r="J4">
        <f t="shared" si="0"/>
        <v>0</v>
      </c>
    </row>
    <row r="5" spans="1:10" x14ac:dyDescent="0.25">
      <c r="A5" t="s">
        <v>25</v>
      </c>
      <c r="B5" t="s">
        <v>5</v>
      </c>
      <c r="C5" t="s">
        <v>17</v>
      </c>
      <c r="D5" t="s">
        <v>21</v>
      </c>
      <c r="E5" s="2" t="s">
        <v>95</v>
      </c>
      <c r="G5">
        <v>212</v>
      </c>
      <c r="H5">
        <v>205</v>
      </c>
      <c r="J5">
        <f t="shared" si="0"/>
        <v>-7</v>
      </c>
    </row>
    <row r="6" spans="1:10" x14ac:dyDescent="0.25">
      <c r="A6" t="s">
        <v>25</v>
      </c>
      <c r="B6" t="s">
        <v>6</v>
      </c>
      <c r="C6" t="s">
        <v>18</v>
      </c>
      <c r="D6" t="s">
        <v>21</v>
      </c>
      <c r="E6" s="2" t="s">
        <v>95</v>
      </c>
      <c r="G6">
        <v>200</v>
      </c>
      <c r="H6">
        <v>329</v>
      </c>
      <c r="J6">
        <f t="shared" si="0"/>
        <v>129</v>
      </c>
    </row>
    <row r="7" spans="1:10" x14ac:dyDescent="0.25">
      <c r="A7" t="s">
        <v>25</v>
      </c>
      <c r="B7" t="s">
        <v>7</v>
      </c>
      <c r="C7" t="s">
        <v>17</v>
      </c>
      <c r="D7" t="s">
        <v>21</v>
      </c>
      <c r="E7" s="2" t="s">
        <v>95</v>
      </c>
      <c r="G7">
        <v>12</v>
      </c>
      <c r="H7">
        <v>467</v>
      </c>
      <c r="J7">
        <f t="shared" si="0"/>
        <v>455</v>
      </c>
    </row>
    <row r="8" spans="1:10" x14ac:dyDescent="0.25">
      <c r="A8" t="s">
        <v>25</v>
      </c>
      <c r="B8" t="s">
        <v>8</v>
      </c>
      <c r="C8" t="s">
        <v>19</v>
      </c>
      <c r="D8" t="s">
        <v>21</v>
      </c>
      <c r="E8" s="2" t="s">
        <v>93</v>
      </c>
      <c r="G8">
        <v>246</v>
      </c>
      <c r="H8">
        <v>424</v>
      </c>
      <c r="J8">
        <f t="shared" si="0"/>
        <v>178</v>
      </c>
    </row>
    <row r="9" spans="1:10" x14ac:dyDescent="0.25">
      <c r="A9" t="s">
        <v>25</v>
      </c>
      <c r="B9" t="s">
        <v>9</v>
      </c>
      <c r="C9" t="s">
        <v>17</v>
      </c>
      <c r="D9" t="s">
        <v>21</v>
      </c>
      <c r="E9" s="2" t="s">
        <v>95</v>
      </c>
      <c r="G9">
        <v>23</v>
      </c>
      <c r="H9">
        <v>109</v>
      </c>
      <c r="J9">
        <f t="shared" si="0"/>
        <v>86</v>
      </c>
    </row>
    <row r="10" spans="1:10" x14ac:dyDescent="0.25">
      <c r="A10" t="s">
        <v>25</v>
      </c>
      <c r="B10" t="s">
        <v>10</v>
      </c>
      <c r="C10" t="s">
        <v>18</v>
      </c>
      <c r="D10" t="s">
        <v>21</v>
      </c>
      <c r="E10" s="2" t="s">
        <v>95</v>
      </c>
      <c r="G10">
        <v>34</v>
      </c>
      <c r="H10">
        <v>38</v>
      </c>
      <c r="J10">
        <f t="shared" si="0"/>
        <v>4</v>
      </c>
    </row>
    <row r="11" spans="1:10" x14ac:dyDescent="0.25">
      <c r="A11" t="s">
        <v>25</v>
      </c>
      <c r="B11" t="s">
        <v>11</v>
      </c>
      <c r="C11" t="s">
        <v>20</v>
      </c>
      <c r="D11" t="s">
        <v>21</v>
      </c>
      <c r="E11" s="2" t="s">
        <v>95</v>
      </c>
      <c r="G11">
        <v>113</v>
      </c>
      <c r="H11">
        <v>174</v>
      </c>
      <c r="J11">
        <f t="shared" si="0"/>
        <v>61</v>
      </c>
    </row>
    <row r="12" spans="1:10" x14ac:dyDescent="0.25">
      <c r="A12" t="s">
        <v>25</v>
      </c>
      <c r="B12" t="s">
        <v>12</v>
      </c>
      <c r="C12" t="s">
        <v>17</v>
      </c>
      <c r="D12" t="s">
        <v>21</v>
      </c>
      <c r="E12" s="2" t="s">
        <v>95</v>
      </c>
      <c r="G12">
        <v>274</v>
      </c>
      <c r="H12">
        <v>439</v>
      </c>
      <c r="J12">
        <f t="shared" si="0"/>
        <v>165</v>
      </c>
    </row>
    <row r="13" spans="1:10" x14ac:dyDescent="0.25">
      <c r="A13" t="s">
        <v>25</v>
      </c>
      <c r="B13" t="s">
        <v>13</v>
      </c>
      <c r="C13" t="s">
        <v>17</v>
      </c>
      <c r="D13" t="s">
        <v>21</v>
      </c>
      <c r="E13" s="2" t="s">
        <v>95</v>
      </c>
      <c r="G13">
        <v>191</v>
      </c>
      <c r="H13">
        <v>301</v>
      </c>
      <c r="J13">
        <f t="shared" si="0"/>
        <v>110</v>
      </c>
    </row>
    <row r="14" spans="1:10" x14ac:dyDescent="0.25">
      <c r="A14" t="s">
        <v>40</v>
      </c>
      <c r="B14" t="s">
        <v>26</v>
      </c>
      <c r="C14" t="s">
        <v>16</v>
      </c>
      <c r="D14" t="s">
        <v>22</v>
      </c>
      <c r="E14" s="2" t="s">
        <v>93</v>
      </c>
      <c r="J14">
        <f t="shared" si="0"/>
        <v>0</v>
      </c>
    </row>
    <row r="15" spans="1:10" x14ac:dyDescent="0.25">
      <c r="A15" t="s">
        <v>40</v>
      </c>
      <c r="B15" t="s">
        <v>27</v>
      </c>
      <c r="C15" t="s">
        <v>14</v>
      </c>
      <c r="D15" t="s">
        <v>21</v>
      </c>
      <c r="E15" s="2" t="s">
        <v>95</v>
      </c>
      <c r="G15">
        <v>216</v>
      </c>
      <c r="H15">
        <v>360</v>
      </c>
      <c r="J15">
        <f t="shared" si="0"/>
        <v>144</v>
      </c>
    </row>
    <row r="16" spans="1:10" x14ac:dyDescent="0.25">
      <c r="A16" t="s">
        <v>40</v>
      </c>
      <c r="B16" t="s">
        <v>28</v>
      </c>
      <c r="C16" t="s">
        <v>14</v>
      </c>
      <c r="D16" t="s">
        <v>21</v>
      </c>
      <c r="E16" s="2" t="s">
        <v>93</v>
      </c>
      <c r="G16">
        <v>316</v>
      </c>
      <c r="H16">
        <v>456</v>
      </c>
      <c r="J16">
        <f t="shared" si="0"/>
        <v>140</v>
      </c>
    </row>
    <row r="17" spans="1:10" x14ac:dyDescent="0.25">
      <c r="A17" t="s">
        <v>40</v>
      </c>
      <c r="B17" t="s">
        <v>29</v>
      </c>
      <c r="C17" t="s">
        <v>14</v>
      </c>
      <c r="D17" t="s">
        <v>21</v>
      </c>
      <c r="E17" s="2" t="s">
        <v>95</v>
      </c>
      <c r="G17">
        <v>318</v>
      </c>
      <c r="H17">
        <v>412</v>
      </c>
      <c r="J17">
        <f t="shared" si="0"/>
        <v>94</v>
      </c>
    </row>
    <row r="18" spans="1:10" x14ac:dyDescent="0.25">
      <c r="A18" t="s">
        <v>40</v>
      </c>
      <c r="B18" t="s">
        <v>30</v>
      </c>
      <c r="C18" t="s">
        <v>14</v>
      </c>
      <c r="D18" t="s">
        <v>21</v>
      </c>
      <c r="E18" s="2" t="s">
        <v>95</v>
      </c>
      <c r="G18">
        <v>308</v>
      </c>
      <c r="H18">
        <v>376</v>
      </c>
      <c r="J18">
        <f t="shared" si="0"/>
        <v>68</v>
      </c>
    </row>
    <row r="19" spans="1:10" x14ac:dyDescent="0.25">
      <c r="A19" t="s">
        <v>40</v>
      </c>
      <c r="B19" t="s">
        <v>31</v>
      </c>
      <c r="C19" t="s">
        <v>14</v>
      </c>
      <c r="D19" t="s">
        <v>21</v>
      </c>
      <c r="E19" s="2" t="s">
        <v>93</v>
      </c>
      <c r="G19">
        <v>178</v>
      </c>
      <c r="H19">
        <v>271</v>
      </c>
      <c r="J19">
        <f t="shared" si="0"/>
        <v>93</v>
      </c>
    </row>
    <row r="20" spans="1:10" x14ac:dyDescent="0.25">
      <c r="A20" t="s">
        <v>40</v>
      </c>
      <c r="B20" t="s">
        <v>32</v>
      </c>
      <c r="C20" t="s">
        <v>19</v>
      </c>
      <c r="D20" t="s">
        <v>21</v>
      </c>
      <c r="E20" s="2" t="s">
        <v>95</v>
      </c>
      <c r="G20">
        <v>262</v>
      </c>
      <c r="H20">
        <v>406</v>
      </c>
      <c r="J20">
        <f t="shared" si="0"/>
        <v>144</v>
      </c>
    </row>
    <row r="21" spans="1:10" x14ac:dyDescent="0.25">
      <c r="A21" t="s">
        <v>40</v>
      </c>
      <c r="B21" t="s">
        <v>33</v>
      </c>
      <c r="C21" t="s">
        <v>14</v>
      </c>
      <c r="D21" t="s">
        <v>21</v>
      </c>
      <c r="E21" s="2" t="s">
        <v>95</v>
      </c>
      <c r="G21">
        <v>21</v>
      </c>
      <c r="H21">
        <v>45</v>
      </c>
      <c r="J21">
        <f t="shared" si="0"/>
        <v>24</v>
      </c>
    </row>
    <row r="22" spans="1:10" x14ac:dyDescent="0.25">
      <c r="A22" t="s">
        <v>40</v>
      </c>
      <c r="B22" t="s">
        <v>34</v>
      </c>
      <c r="C22" t="s">
        <v>14</v>
      </c>
      <c r="D22" t="s">
        <v>21</v>
      </c>
      <c r="E22" s="2" t="s">
        <v>93</v>
      </c>
      <c r="G22">
        <v>317</v>
      </c>
      <c r="H22">
        <v>393</v>
      </c>
      <c r="J22">
        <f t="shared" si="0"/>
        <v>76</v>
      </c>
    </row>
    <row r="23" spans="1:10" x14ac:dyDescent="0.25">
      <c r="A23" t="s">
        <v>40</v>
      </c>
      <c r="B23" t="s">
        <v>35</v>
      </c>
      <c r="C23" t="s">
        <v>18</v>
      </c>
      <c r="D23" t="s">
        <v>21</v>
      </c>
      <c r="E23" s="2" t="s">
        <v>95</v>
      </c>
      <c r="G23">
        <v>241</v>
      </c>
      <c r="H23">
        <v>306</v>
      </c>
      <c r="J23">
        <f t="shared" si="0"/>
        <v>65</v>
      </c>
    </row>
    <row r="24" spans="1:10" x14ac:dyDescent="0.25">
      <c r="A24" t="s">
        <v>40</v>
      </c>
      <c r="B24" t="s">
        <v>36</v>
      </c>
      <c r="C24" t="s">
        <v>14</v>
      </c>
      <c r="D24" t="s">
        <v>21</v>
      </c>
      <c r="E24" s="2" t="s">
        <v>93</v>
      </c>
      <c r="G24">
        <v>276</v>
      </c>
      <c r="H24">
        <v>445</v>
      </c>
      <c r="J24">
        <f t="shared" si="0"/>
        <v>169</v>
      </c>
    </row>
    <row r="25" spans="1:10" x14ac:dyDescent="0.25">
      <c r="A25" t="s">
        <v>40</v>
      </c>
      <c r="B25" t="s">
        <v>37</v>
      </c>
      <c r="C25" t="s">
        <v>19</v>
      </c>
      <c r="D25" t="s">
        <v>21</v>
      </c>
      <c r="E25" s="2" t="s">
        <v>93</v>
      </c>
      <c r="G25">
        <v>305</v>
      </c>
      <c r="H25">
        <v>416</v>
      </c>
      <c r="J25">
        <f t="shared" si="0"/>
        <v>111</v>
      </c>
    </row>
    <row r="26" spans="1:10" x14ac:dyDescent="0.25">
      <c r="A26" t="s">
        <v>40</v>
      </c>
      <c r="B26" t="s">
        <v>38</v>
      </c>
      <c r="C26" t="s">
        <v>14</v>
      </c>
      <c r="D26" t="s">
        <v>21</v>
      </c>
      <c r="E26" s="2" t="s">
        <v>95</v>
      </c>
      <c r="G26">
        <v>130</v>
      </c>
      <c r="H26">
        <v>127</v>
      </c>
      <c r="J26">
        <f t="shared" si="0"/>
        <v>-3</v>
      </c>
    </row>
    <row r="27" spans="1:10" x14ac:dyDescent="0.25">
      <c r="A27" t="s">
        <v>40</v>
      </c>
      <c r="B27" t="s">
        <v>39</v>
      </c>
      <c r="C27" t="s">
        <v>19</v>
      </c>
      <c r="D27" t="s">
        <v>21</v>
      </c>
      <c r="E27" s="2" t="s">
        <v>95</v>
      </c>
      <c r="G27">
        <v>282</v>
      </c>
      <c r="H27">
        <v>371</v>
      </c>
      <c r="J27">
        <f t="shared" si="0"/>
        <v>89</v>
      </c>
    </row>
    <row r="28" spans="1:10" x14ac:dyDescent="0.25">
      <c r="A28" t="s">
        <v>41</v>
      </c>
      <c r="B28" t="s">
        <v>42</v>
      </c>
      <c r="C28" t="s">
        <v>17</v>
      </c>
      <c r="D28" t="s">
        <v>21</v>
      </c>
      <c r="E28" s="2" t="s">
        <v>94</v>
      </c>
      <c r="G28">
        <v>358</v>
      </c>
      <c r="H28">
        <v>194</v>
      </c>
      <c r="J28">
        <f t="shared" si="0"/>
        <v>-164</v>
      </c>
    </row>
    <row r="29" spans="1:10" x14ac:dyDescent="0.25">
      <c r="A29" t="s">
        <v>41</v>
      </c>
      <c r="B29" t="s">
        <v>43</v>
      </c>
      <c r="C29" t="s">
        <v>18</v>
      </c>
      <c r="D29" t="s">
        <v>21</v>
      </c>
      <c r="E29" s="2" t="s">
        <v>94</v>
      </c>
      <c r="G29">
        <v>300</v>
      </c>
      <c r="H29">
        <v>255</v>
      </c>
      <c r="J29">
        <f t="shared" si="0"/>
        <v>-45</v>
      </c>
    </row>
    <row r="30" spans="1:10" x14ac:dyDescent="0.25">
      <c r="A30" t="s">
        <v>41</v>
      </c>
      <c r="B30" t="s">
        <v>44</v>
      </c>
      <c r="C30" t="s">
        <v>20</v>
      </c>
      <c r="D30" t="s">
        <v>21</v>
      </c>
      <c r="E30" s="2" t="s">
        <v>94</v>
      </c>
      <c r="G30">
        <v>67</v>
      </c>
      <c r="H30">
        <v>247</v>
      </c>
      <c r="J30">
        <f t="shared" si="0"/>
        <v>180</v>
      </c>
    </row>
    <row r="31" spans="1:10" x14ac:dyDescent="0.25">
      <c r="A31" t="s">
        <v>41</v>
      </c>
      <c r="B31" t="s">
        <v>45</v>
      </c>
      <c r="C31" t="s">
        <v>20</v>
      </c>
      <c r="D31" t="s">
        <v>21</v>
      </c>
      <c r="E31" s="2" t="s">
        <v>94</v>
      </c>
      <c r="G31">
        <v>178</v>
      </c>
      <c r="H31">
        <v>137</v>
      </c>
      <c r="J31">
        <f t="shared" si="0"/>
        <v>-41</v>
      </c>
    </row>
    <row r="32" spans="1:10" x14ac:dyDescent="0.25">
      <c r="A32" t="s">
        <v>41</v>
      </c>
      <c r="B32" t="s">
        <v>46</v>
      </c>
      <c r="C32" t="s">
        <v>17</v>
      </c>
      <c r="D32" t="s">
        <v>21</v>
      </c>
      <c r="E32" s="2" t="s">
        <v>94</v>
      </c>
      <c r="G32">
        <v>474</v>
      </c>
      <c r="H32">
        <v>418</v>
      </c>
      <c r="J32">
        <f t="shared" si="0"/>
        <v>-56</v>
      </c>
    </row>
    <row r="33" spans="1:10" x14ac:dyDescent="0.25">
      <c r="A33" t="s">
        <v>41</v>
      </c>
      <c r="B33" t="s">
        <v>47</v>
      </c>
      <c r="C33" t="s">
        <v>17</v>
      </c>
      <c r="D33" t="s">
        <v>21</v>
      </c>
      <c r="E33" s="2" t="s">
        <v>94</v>
      </c>
      <c r="G33">
        <v>30</v>
      </c>
      <c r="H33">
        <v>20</v>
      </c>
      <c r="J33">
        <f t="shared" si="0"/>
        <v>-10</v>
      </c>
    </row>
    <row r="34" spans="1:10" x14ac:dyDescent="0.25">
      <c r="A34" t="s">
        <v>41</v>
      </c>
      <c r="B34" t="s">
        <v>48</v>
      </c>
      <c r="C34" t="s">
        <v>20</v>
      </c>
      <c r="D34" t="s">
        <v>21</v>
      </c>
      <c r="E34" s="2" t="s">
        <v>94</v>
      </c>
      <c r="G34">
        <v>158</v>
      </c>
      <c r="H34">
        <v>230</v>
      </c>
      <c r="J34">
        <f t="shared" si="0"/>
        <v>72</v>
      </c>
    </row>
    <row r="35" spans="1:10" x14ac:dyDescent="0.25">
      <c r="A35" t="s">
        <v>70</v>
      </c>
      <c r="B35" t="s">
        <v>49</v>
      </c>
      <c r="C35" t="s">
        <v>20</v>
      </c>
      <c r="D35" t="s">
        <v>21</v>
      </c>
      <c r="E35" s="2" t="s">
        <v>95</v>
      </c>
      <c r="G35">
        <v>76</v>
      </c>
      <c r="H35">
        <v>54</v>
      </c>
      <c r="J35">
        <f t="shared" si="0"/>
        <v>-22</v>
      </c>
    </row>
    <row r="36" spans="1:10" x14ac:dyDescent="0.25">
      <c r="A36" t="s">
        <v>70</v>
      </c>
      <c r="B36" t="s">
        <v>50</v>
      </c>
      <c r="C36" t="s">
        <v>20</v>
      </c>
      <c r="D36" t="s">
        <v>21</v>
      </c>
      <c r="E36" s="2" t="s">
        <v>95</v>
      </c>
      <c r="G36">
        <v>73</v>
      </c>
      <c r="H36">
        <v>135</v>
      </c>
      <c r="J36">
        <f t="shared" si="0"/>
        <v>62</v>
      </c>
    </row>
    <row r="37" spans="1:10" x14ac:dyDescent="0.25">
      <c r="A37" t="s">
        <v>70</v>
      </c>
      <c r="B37" t="s">
        <v>51</v>
      </c>
      <c r="C37" t="s">
        <v>71</v>
      </c>
      <c r="D37" t="s">
        <v>21</v>
      </c>
      <c r="E37" s="2" t="s">
        <v>93</v>
      </c>
      <c r="G37">
        <v>140</v>
      </c>
      <c r="H37">
        <v>219</v>
      </c>
      <c r="J37">
        <f t="shared" si="0"/>
        <v>79</v>
      </c>
    </row>
    <row r="38" spans="1:10" x14ac:dyDescent="0.25">
      <c r="A38" t="s">
        <v>70</v>
      </c>
      <c r="B38" t="s">
        <v>52</v>
      </c>
      <c r="C38" t="s">
        <v>19</v>
      </c>
      <c r="D38" t="s">
        <v>21</v>
      </c>
      <c r="E38" s="2" t="s">
        <v>95</v>
      </c>
      <c r="G38">
        <v>101</v>
      </c>
      <c r="H38">
        <v>92</v>
      </c>
      <c r="J38">
        <f t="shared" si="0"/>
        <v>-9</v>
      </c>
    </row>
    <row r="39" spans="1:10" x14ac:dyDescent="0.25">
      <c r="A39" t="s">
        <v>70</v>
      </c>
      <c r="B39" t="s">
        <v>53</v>
      </c>
      <c r="C39" t="s">
        <v>17</v>
      </c>
      <c r="D39" t="s">
        <v>21</v>
      </c>
      <c r="E39" s="2" t="s">
        <v>93</v>
      </c>
      <c r="G39">
        <v>90</v>
      </c>
      <c r="H39">
        <v>28</v>
      </c>
      <c r="J39">
        <f t="shared" si="0"/>
        <v>-62</v>
      </c>
    </row>
    <row r="40" spans="1:10" x14ac:dyDescent="0.25">
      <c r="A40" t="s">
        <v>70</v>
      </c>
      <c r="B40" t="s">
        <v>54</v>
      </c>
      <c r="C40" t="s">
        <v>20</v>
      </c>
      <c r="D40" t="s">
        <v>21</v>
      </c>
      <c r="E40" s="2" t="s">
        <v>93</v>
      </c>
      <c r="G40">
        <v>11</v>
      </c>
      <c r="H40">
        <v>86</v>
      </c>
      <c r="J40">
        <f t="shared" si="0"/>
        <v>75</v>
      </c>
    </row>
    <row r="41" spans="1:10" x14ac:dyDescent="0.25">
      <c r="A41" t="s">
        <v>70</v>
      </c>
      <c r="B41" t="s">
        <v>55</v>
      </c>
      <c r="C41" t="s">
        <v>20</v>
      </c>
      <c r="D41" t="s">
        <v>21</v>
      </c>
      <c r="E41" s="2" t="s">
        <v>93</v>
      </c>
      <c r="G41">
        <v>2</v>
      </c>
      <c r="H41">
        <v>2</v>
      </c>
      <c r="J41">
        <f t="shared" si="0"/>
        <v>0</v>
      </c>
    </row>
    <row r="42" spans="1:10" x14ac:dyDescent="0.25">
      <c r="A42" t="s">
        <v>70</v>
      </c>
      <c r="B42" t="s">
        <v>56</v>
      </c>
      <c r="C42" t="s">
        <v>17</v>
      </c>
      <c r="D42" t="s">
        <v>21</v>
      </c>
      <c r="E42" s="2" t="s">
        <v>95</v>
      </c>
      <c r="G42">
        <v>360</v>
      </c>
      <c r="H42">
        <v>413</v>
      </c>
      <c r="J42">
        <f t="shared" si="0"/>
        <v>53</v>
      </c>
    </row>
    <row r="43" spans="1:10" x14ac:dyDescent="0.25">
      <c r="A43" t="s">
        <v>70</v>
      </c>
      <c r="B43" t="s">
        <v>57</v>
      </c>
      <c r="C43" t="s">
        <v>17</v>
      </c>
      <c r="D43" t="s">
        <v>21</v>
      </c>
      <c r="E43" s="2" t="s">
        <v>95</v>
      </c>
      <c r="G43">
        <v>333</v>
      </c>
      <c r="H43">
        <v>362</v>
      </c>
      <c r="J43">
        <f t="shared" si="0"/>
        <v>29</v>
      </c>
    </row>
    <row r="44" spans="1:10" x14ac:dyDescent="0.25">
      <c r="A44" t="s">
        <v>70</v>
      </c>
      <c r="B44" t="s">
        <v>58</v>
      </c>
      <c r="C44" t="s">
        <v>20</v>
      </c>
      <c r="D44" t="s">
        <v>21</v>
      </c>
      <c r="E44" s="2" t="s">
        <v>95</v>
      </c>
      <c r="G44">
        <v>64</v>
      </c>
      <c r="H44">
        <v>96</v>
      </c>
      <c r="J44">
        <f t="shared" si="0"/>
        <v>32</v>
      </c>
    </row>
    <row r="45" spans="1:10" x14ac:dyDescent="0.25">
      <c r="A45" t="s">
        <v>70</v>
      </c>
      <c r="B45" t="s">
        <v>59</v>
      </c>
      <c r="C45" t="s">
        <v>20</v>
      </c>
      <c r="D45" t="s">
        <v>21</v>
      </c>
      <c r="E45" s="2" t="s">
        <v>93</v>
      </c>
      <c r="G45">
        <v>141</v>
      </c>
      <c r="H45">
        <v>169</v>
      </c>
      <c r="J45">
        <f t="shared" si="0"/>
        <v>28</v>
      </c>
    </row>
    <row r="46" spans="1:10" x14ac:dyDescent="0.25">
      <c r="A46" t="s">
        <v>70</v>
      </c>
      <c r="B46" t="s">
        <v>60</v>
      </c>
      <c r="C46" t="s">
        <v>17</v>
      </c>
      <c r="D46" t="s">
        <v>21</v>
      </c>
      <c r="E46" s="2" t="s">
        <v>95</v>
      </c>
      <c r="G46">
        <v>185</v>
      </c>
      <c r="H46">
        <v>231</v>
      </c>
      <c r="J46">
        <f t="shared" si="0"/>
        <v>46</v>
      </c>
    </row>
    <row r="47" spans="1:10" x14ac:dyDescent="0.25">
      <c r="A47" t="s">
        <v>70</v>
      </c>
      <c r="B47" t="s">
        <v>61</v>
      </c>
      <c r="C47" t="s">
        <v>71</v>
      </c>
      <c r="D47" t="s">
        <v>21</v>
      </c>
      <c r="E47" s="2" t="s">
        <v>93</v>
      </c>
      <c r="G47">
        <v>155</v>
      </c>
      <c r="H47">
        <v>246</v>
      </c>
      <c r="J47">
        <f t="shared" si="0"/>
        <v>91</v>
      </c>
    </row>
    <row r="48" spans="1:10" x14ac:dyDescent="0.25">
      <c r="A48" t="s">
        <v>70</v>
      </c>
      <c r="B48" t="s">
        <v>62</v>
      </c>
      <c r="C48" t="s">
        <v>20</v>
      </c>
      <c r="D48" t="s">
        <v>21</v>
      </c>
      <c r="E48" s="2" t="s">
        <v>95</v>
      </c>
      <c r="G48">
        <v>119</v>
      </c>
      <c r="H48">
        <v>155</v>
      </c>
      <c r="J48">
        <f t="shared" si="0"/>
        <v>36</v>
      </c>
    </row>
    <row r="49" spans="1:10" x14ac:dyDescent="0.25">
      <c r="A49" t="s">
        <v>70</v>
      </c>
      <c r="B49" t="s">
        <v>63</v>
      </c>
      <c r="C49" t="s">
        <v>20</v>
      </c>
      <c r="D49" t="s">
        <v>21</v>
      </c>
      <c r="E49" s="2" t="s">
        <v>93</v>
      </c>
      <c r="G49">
        <v>100</v>
      </c>
      <c r="H49">
        <v>151</v>
      </c>
      <c r="J49">
        <f t="shared" si="0"/>
        <v>51</v>
      </c>
    </row>
    <row r="50" spans="1:10" x14ac:dyDescent="0.25">
      <c r="A50" t="s">
        <v>70</v>
      </c>
      <c r="B50" t="s">
        <v>64</v>
      </c>
      <c r="C50" t="s">
        <v>20</v>
      </c>
      <c r="D50" t="s">
        <v>21</v>
      </c>
      <c r="E50" s="2" t="s">
        <v>93</v>
      </c>
      <c r="G50">
        <v>142</v>
      </c>
      <c r="H50">
        <v>215</v>
      </c>
      <c r="J50">
        <f t="shared" si="0"/>
        <v>73</v>
      </c>
    </row>
    <row r="51" spans="1:10" x14ac:dyDescent="0.25">
      <c r="A51" t="s">
        <v>70</v>
      </c>
      <c r="B51" t="s">
        <v>65</v>
      </c>
      <c r="C51" t="s">
        <v>20</v>
      </c>
      <c r="D51" t="s">
        <v>21</v>
      </c>
      <c r="E51" s="2" t="s">
        <v>95</v>
      </c>
      <c r="G51">
        <v>112</v>
      </c>
      <c r="H51">
        <v>94</v>
      </c>
      <c r="J51">
        <f t="shared" si="0"/>
        <v>-18</v>
      </c>
    </row>
    <row r="52" spans="1:10" x14ac:dyDescent="0.25">
      <c r="A52" t="s">
        <v>70</v>
      </c>
      <c r="B52" t="s">
        <v>66</v>
      </c>
      <c r="C52" t="s">
        <v>17</v>
      </c>
      <c r="D52" t="s">
        <v>21</v>
      </c>
      <c r="E52" s="2" t="s">
        <v>93</v>
      </c>
      <c r="G52">
        <v>231</v>
      </c>
      <c r="H52">
        <v>268</v>
      </c>
      <c r="J52">
        <f t="shared" si="0"/>
        <v>37</v>
      </c>
    </row>
    <row r="53" spans="1:10" x14ac:dyDescent="0.25">
      <c r="A53" t="s">
        <v>70</v>
      </c>
      <c r="B53" t="s">
        <v>67</v>
      </c>
      <c r="C53" t="s">
        <v>16</v>
      </c>
      <c r="D53" t="s">
        <v>22</v>
      </c>
      <c r="E53" s="2" t="s">
        <v>95</v>
      </c>
      <c r="J53">
        <f t="shared" si="0"/>
        <v>0</v>
      </c>
    </row>
    <row r="54" spans="1:10" x14ac:dyDescent="0.25">
      <c r="A54" t="s">
        <v>70</v>
      </c>
      <c r="B54" t="s">
        <v>68</v>
      </c>
      <c r="C54" t="s">
        <v>20</v>
      </c>
      <c r="D54" t="s">
        <v>21</v>
      </c>
      <c r="E54" s="2" t="s">
        <v>95</v>
      </c>
      <c r="G54">
        <v>10</v>
      </c>
      <c r="H54">
        <v>14</v>
      </c>
      <c r="J54">
        <f t="shared" si="0"/>
        <v>4</v>
      </c>
    </row>
    <row r="55" spans="1:10" x14ac:dyDescent="0.25">
      <c r="A55" t="s">
        <v>70</v>
      </c>
      <c r="B55" t="s">
        <v>69</v>
      </c>
      <c r="C55" t="s">
        <v>20</v>
      </c>
      <c r="D55" t="s">
        <v>21</v>
      </c>
      <c r="E55" s="2" t="s">
        <v>95</v>
      </c>
      <c r="G55">
        <v>31</v>
      </c>
      <c r="H55">
        <v>84</v>
      </c>
      <c r="J55">
        <f t="shared" si="0"/>
        <v>53</v>
      </c>
    </row>
    <row r="56" spans="1:10" x14ac:dyDescent="0.25">
      <c r="A56" t="s">
        <v>72</v>
      </c>
      <c r="B56" t="s">
        <v>73</v>
      </c>
      <c r="C56" t="s">
        <v>18</v>
      </c>
      <c r="D56" t="s">
        <v>21</v>
      </c>
      <c r="E56" s="2" t="s">
        <v>95</v>
      </c>
      <c r="G56">
        <v>52</v>
      </c>
      <c r="H56">
        <v>79</v>
      </c>
      <c r="J56">
        <f t="shared" si="0"/>
        <v>27</v>
      </c>
    </row>
    <row r="57" spans="1:10" x14ac:dyDescent="0.25">
      <c r="A57" t="s">
        <v>72</v>
      </c>
      <c r="B57" t="s">
        <v>74</v>
      </c>
      <c r="C57" t="s">
        <v>20</v>
      </c>
      <c r="D57" t="s">
        <v>21</v>
      </c>
      <c r="E57" s="2" t="s">
        <v>93</v>
      </c>
      <c r="G57">
        <v>108</v>
      </c>
      <c r="H57">
        <v>107</v>
      </c>
      <c r="J57">
        <f t="shared" si="0"/>
        <v>-1</v>
      </c>
    </row>
    <row r="58" spans="1:10" x14ac:dyDescent="0.25">
      <c r="A58" t="s">
        <v>72</v>
      </c>
      <c r="B58" t="s">
        <v>75</v>
      </c>
      <c r="C58" t="s">
        <v>16</v>
      </c>
      <c r="D58" t="s">
        <v>22</v>
      </c>
      <c r="E58" s="2" t="s">
        <v>95</v>
      </c>
      <c r="J58">
        <f t="shared" si="0"/>
        <v>0</v>
      </c>
    </row>
    <row r="59" spans="1:10" x14ac:dyDescent="0.25">
      <c r="A59" t="s">
        <v>72</v>
      </c>
      <c r="B59" t="s">
        <v>76</v>
      </c>
      <c r="C59" t="s">
        <v>17</v>
      </c>
      <c r="D59" t="s">
        <v>21</v>
      </c>
      <c r="E59" s="2" t="s">
        <v>93</v>
      </c>
      <c r="G59">
        <v>99</v>
      </c>
      <c r="H59">
        <v>183</v>
      </c>
      <c r="J59">
        <f t="shared" si="0"/>
        <v>84</v>
      </c>
    </row>
    <row r="60" spans="1:10" x14ac:dyDescent="0.25">
      <c r="A60" t="s">
        <v>72</v>
      </c>
      <c r="B60" t="s">
        <v>77</v>
      </c>
      <c r="C60" t="s">
        <v>19</v>
      </c>
      <c r="D60" t="s">
        <v>21</v>
      </c>
      <c r="E60" s="2" t="s">
        <v>93</v>
      </c>
      <c r="G60">
        <v>70</v>
      </c>
      <c r="H60">
        <v>254</v>
      </c>
      <c r="J60">
        <f t="shared" si="0"/>
        <v>184</v>
      </c>
    </row>
    <row r="61" spans="1:10" x14ac:dyDescent="0.25">
      <c r="A61" t="s">
        <v>72</v>
      </c>
      <c r="B61" t="s">
        <v>78</v>
      </c>
      <c r="C61" t="s">
        <v>20</v>
      </c>
      <c r="D61" t="s">
        <v>21</v>
      </c>
      <c r="E61" s="2" t="s">
        <v>93</v>
      </c>
      <c r="G61">
        <v>37</v>
      </c>
      <c r="H61">
        <v>77</v>
      </c>
      <c r="J61">
        <f t="shared" si="0"/>
        <v>40</v>
      </c>
    </row>
    <row r="62" spans="1:10" x14ac:dyDescent="0.25">
      <c r="A62" t="s">
        <v>72</v>
      </c>
      <c r="B62" t="s">
        <v>79</v>
      </c>
      <c r="C62" t="s">
        <v>17</v>
      </c>
      <c r="D62" t="s">
        <v>21</v>
      </c>
      <c r="E62" s="2" t="s">
        <v>93</v>
      </c>
      <c r="G62">
        <v>36</v>
      </c>
      <c r="H62">
        <v>174</v>
      </c>
      <c r="J62">
        <f t="shared" si="0"/>
        <v>138</v>
      </c>
    </row>
    <row r="63" spans="1:10" x14ac:dyDescent="0.25">
      <c r="A63" t="s">
        <v>72</v>
      </c>
      <c r="B63" t="s">
        <v>80</v>
      </c>
      <c r="C63" t="s">
        <v>17</v>
      </c>
      <c r="D63" t="s">
        <v>21</v>
      </c>
      <c r="E63" s="2" t="s">
        <v>93</v>
      </c>
      <c r="G63">
        <v>324</v>
      </c>
      <c r="H63">
        <v>318</v>
      </c>
      <c r="J63">
        <f t="shared" si="0"/>
        <v>-6</v>
      </c>
    </row>
    <row r="64" spans="1:10" x14ac:dyDescent="0.25">
      <c r="A64" t="s">
        <v>72</v>
      </c>
      <c r="B64" t="s">
        <v>81</v>
      </c>
      <c r="C64" t="s">
        <v>19</v>
      </c>
      <c r="D64" t="s">
        <v>21</v>
      </c>
      <c r="E64" s="2" t="s">
        <v>95</v>
      </c>
      <c r="G64">
        <v>232</v>
      </c>
      <c r="H64">
        <v>295</v>
      </c>
      <c r="J64">
        <f t="shared" si="0"/>
        <v>63</v>
      </c>
    </row>
    <row r="65" spans="1:10" x14ac:dyDescent="0.25">
      <c r="A65" t="s">
        <v>72</v>
      </c>
      <c r="B65" t="s">
        <v>82</v>
      </c>
      <c r="C65" t="s">
        <v>17</v>
      </c>
      <c r="D65" t="s">
        <v>21</v>
      </c>
      <c r="E65" s="2" t="s">
        <v>93</v>
      </c>
      <c r="G65">
        <v>327</v>
      </c>
      <c r="H65">
        <v>416</v>
      </c>
      <c r="J65">
        <f t="shared" si="0"/>
        <v>89</v>
      </c>
    </row>
    <row r="66" spans="1:10" x14ac:dyDescent="0.25">
      <c r="A66" t="s">
        <v>72</v>
      </c>
      <c r="B66" t="s">
        <v>83</v>
      </c>
      <c r="C66" t="s">
        <v>17</v>
      </c>
      <c r="D66" t="s">
        <v>21</v>
      </c>
      <c r="E66" s="2" t="s">
        <v>93</v>
      </c>
      <c r="G66">
        <v>182</v>
      </c>
      <c r="H66">
        <v>308</v>
      </c>
      <c r="J66">
        <f t="shared" si="0"/>
        <v>126</v>
      </c>
    </row>
    <row r="67" spans="1:10" x14ac:dyDescent="0.25">
      <c r="A67" t="s">
        <v>72</v>
      </c>
      <c r="B67" t="s">
        <v>84</v>
      </c>
      <c r="C67" t="s">
        <v>19</v>
      </c>
      <c r="D67" t="s">
        <v>21</v>
      </c>
      <c r="E67" s="2" t="s">
        <v>95</v>
      </c>
      <c r="G67">
        <v>230</v>
      </c>
      <c r="H67">
        <v>387</v>
      </c>
      <c r="J67">
        <f t="shared" ref="J67:J74" si="1">H67-G67</f>
        <v>157</v>
      </c>
    </row>
    <row r="68" spans="1:10" x14ac:dyDescent="0.25">
      <c r="A68" t="s">
        <v>72</v>
      </c>
      <c r="B68" t="s">
        <v>85</v>
      </c>
      <c r="C68" t="s">
        <v>17</v>
      </c>
      <c r="D68" t="s">
        <v>21</v>
      </c>
      <c r="E68" s="2" t="s">
        <v>93</v>
      </c>
      <c r="G68">
        <v>177</v>
      </c>
      <c r="H68">
        <v>232</v>
      </c>
      <c r="J68">
        <f t="shared" si="1"/>
        <v>55</v>
      </c>
    </row>
    <row r="69" spans="1:10" x14ac:dyDescent="0.25">
      <c r="A69" t="s">
        <v>72</v>
      </c>
      <c r="B69" t="s">
        <v>86</v>
      </c>
      <c r="C69" t="s">
        <v>18</v>
      </c>
      <c r="D69" t="s">
        <v>21</v>
      </c>
      <c r="E69" s="2" t="s">
        <v>93</v>
      </c>
      <c r="G69">
        <v>242</v>
      </c>
      <c r="H69">
        <v>363</v>
      </c>
      <c r="J69">
        <f t="shared" si="1"/>
        <v>121</v>
      </c>
    </row>
    <row r="70" spans="1:10" x14ac:dyDescent="0.25">
      <c r="A70" t="s">
        <v>72</v>
      </c>
      <c r="B70" t="s">
        <v>87</v>
      </c>
      <c r="C70" t="s">
        <v>17</v>
      </c>
      <c r="D70" t="s">
        <v>21</v>
      </c>
      <c r="E70" s="2" t="s">
        <v>93</v>
      </c>
      <c r="G70">
        <v>112</v>
      </c>
      <c r="H70">
        <v>125</v>
      </c>
      <c r="J70">
        <f t="shared" si="1"/>
        <v>13</v>
      </c>
    </row>
    <row r="71" spans="1:10" x14ac:dyDescent="0.25">
      <c r="A71" t="s">
        <v>72</v>
      </c>
      <c r="B71" t="s">
        <v>88</v>
      </c>
      <c r="C71" t="s">
        <v>14</v>
      </c>
      <c r="D71" t="s">
        <v>21</v>
      </c>
      <c r="E71" s="2" t="s">
        <v>93</v>
      </c>
      <c r="G71">
        <v>267</v>
      </c>
      <c r="H71">
        <v>367</v>
      </c>
      <c r="J71">
        <f t="shared" si="1"/>
        <v>100</v>
      </c>
    </row>
    <row r="72" spans="1:10" x14ac:dyDescent="0.25">
      <c r="A72" t="s">
        <v>72</v>
      </c>
      <c r="B72" t="s">
        <v>89</v>
      </c>
      <c r="C72" t="s">
        <v>19</v>
      </c>
      <c r="D72" t="s">
        <v>21</v>
      </c>
      <c r="E72" s="2" t="s">
        <v>95</v>
      </c>
      <c r="G72">
        <v>193</v>
      </c>
      <c r="H72">
        <v>333</v>
      </c>
      <c r="J72">
        <f t="shared" si="1"/>
        <v>140</v>
      </c>
    </row>
    <row r="73" spans="1:10" x14ac:dyDescent="0.25">
      <c r="A73" t="s">
        <v>72</v>
      </c>
      <c r="B73" t="s">
        <v>90</v>
      </c>
      <c r="C73" t="s">
        <v>19</v>
      </c>
      <c r="D73" t="s">
        <v>21</v>
      </c>
      <c r="E73" s="2" t="s">
        <v>93</v>
      </c>
      <c r="G73">
        <v>236</v>
      </c>
      <c r="H73">
        <v>318</v>
      </c>
      <c r="J73">
        <f t="shared" si="1"/>
        <v>82</v>
      </c>
    </row>
    <row r="74" spans="1:10" x14ac:dyDescent="0.25">
      <c r="A74" t="s">
        <v>72</v>
      </c>
      <c r="B74" t="s">
        <v>91</v>
      </c>
      <c r="C74" t="s">
        <v>16</v>
      </c>
      <c r="D74" t="s">
        <v>22</v>
      </c>
      <c r="E74" s="2" t="s">
        <v>93</v>
      </c>
      <c r="J74">
        <f t="shared" si="1"/>
        <v>0</v>
      </c>
    </row>
  </sheetData>
  <autoFilter ref="A1:H74" xr:uid="{FC8F66C0-936C-463C-8360-F43C0A8201ED}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workbookViewId="0">
      <selection activeCell="J10" sqref="J10"/>
    </sheetView>
  </sheetViews>
  <sheetFormatPr defaultRowHeight="15" x14ac:dyDescent="0.25"/>
  <cols>
    <col min="1" max="1" width="16.7109375" bestFit="1" customWidth="1"/>
    <col min="2" max="2" width="22.5703125" bestFit="1" customWidth="1"/>
    <col min="3" max="3" width="17.28515625" bestFit="1" customWidth="1"/>
    <col min="4" max="4" width="14" bestFit="1" customWidth="1"/>
    <col min="5" max="5" width="11.140625" style="2" bestFit="1" customWidth="1"/>
  </cols>
  <sheetData>
    <row r="1" spans="1:5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92</v>
      </c>
    </row>
    <row r="2" spans="1:5" x14ac:dyDescent="0.25">
      <c r="A2" t="s">
        <v>25</v>
      </c>
      <c r="B2" t="s">
        <v>2</v>
      </c>
      <c r="C2" t="s">
        <v>14</v>
      </c>
      <c r="D2" t="s">
        <v>21</v>
      </c>
      <c r="E2" s="2" t="s">
        <v>95</v>
      </c>
    </row>
    <row r="3" spans="1:5" x14ac:dyDescent="0.25">
      <c r="A3" t="s">
        <v>25</v>
      </c>
      <c r="B3" t="s">
        <v>3</v>
      </c>
      <c r="C3" t="s">
        <v>15</v>
      </c>
      <c r="D3" t="s">
        <v>22</v>
      </c>
      <c r="E3" s="2" t="s">
        <v>93</v>
      </c>
    </row>
    <row r="4" spans="1:5" x14ac:dyDescent="0.25">
      <c r="A4" t="s">
        <v>25</v>
      </c>
      <c r="B4" t="s">
        <v>4</v>
      </c>
      <c r="C4" t="s">
        <v>16</v>
      </c>
      <c r="D4" t="s">
        <v>22</v>
      </c>
      <c r="E4" s="2" t="s">
        <v>95</v>
      </c>
    </row>
    <row r="5" spans="1:5" x14ac:dyDescent="0.25">
      <c r="A5" t="s">
        <v>25</v>
      </c>
      <c r="B5" t="s">
        <v>5</v>
      </c>
      <c r="C5" t="s">
        <v>17</v>
      </c>
      <c r="D5" t="s">
        <v>21</v>
      </c>
      <c r="E5" s="2" t="s">
        <v>95</v>
      </c>
    </row>
    <row r="6" spans="1:5" x14ac:dyDescent="0.25">
      <c r="A6" t="s">
        <v>25</v>
      </c>
      <c r="B6" t="s">
        <v>6</v>
      </c>
      <c r="C6" t="s">
        <v>18</v>
      </c>
      <c r="D6" t="s">
        <v>21</v>
      </c>
      <c r="E6" s="2" t="s">
        <v>95</v>
      </c>
    </row>
    <row r="7" spans="1:5" x14ac:dyDescent="0.25">
      <c r="A7" t="s">
        <v>25</v>
      </c>
      <c r="B7" t="s">
        <v>7</v>
      </c>
      <c r="C7" t="s">
        <v>17</v>
      </c>
      <c r="D7" t="s">
        <v>21</v>
      </c>
      <c r="E7" s="2" t="s">
        <v>95</v>
      </c>
    </row>
    <row r="8" spans="1:5" x14ac:dyDescent="0.25">
      <c r="A8" t="s">
        <v>25</v>
      </c>
      <c r="B8" t="s">
        <v>8</v>
      </c>
      <c r="C8" t="s">
        <v>19</v>
      </c>
      <c r="D8" t="s">
        <v>21</v>
      </c>
      <c r="E8" s="2" t="s">
        <v>93</v>
      </c>
    </row>
    <row r="9" spans="1:5" x14ac:dyDescent="0.25">
      <c r="A9" t="s">
        <v>25</v>
      </c>
      <c r="B9" t="s">
        <v>9</v>
      </c>
      <c r="C9" t="s">
        <v>17</v>
      </c>
      <c r="D9" t="s">
        <v>21</v>
      </c>
      <c r="E9" s="2" t="s">
        <v>95</v>
      </c>
    </row>
    <row r="10" spans="1:5" x14ac:dyDescent="0.25">
      <c r="A10" t="s">
        <v>25</v>
      </c>
      <c r="B10" t="s">
        <v>10</v>
      </c>
      <c r="C10" t="s">
        <v>18</v>
      </c>
      <c r="D10" t="s">
        <v>21</v>
      </c>
      <c r="E10" s="2" t="s">
        <v>95</v>
      </c>
    </row>
    <row r="11" spans="1:5" x14ac:dyDescent="0.25">
      <c r="A11" t="s">
        <v>25</v>
      </c>
      <c r="B11" t="s">
        <v>11</v>
      </c>
      <c r="C11" t="s">
        <v>20</v>
      </c>
      <c r="D11" t="s">
        <v>21</v>
      </c>
      <c r="E11" s="2" t="s">
        <v>95</v>
      </c>
    </row>
    <row r="12" spans="1:5" x14ac:dyDescent="0.25">
      <c r="A12" t="s">
        <v>25</v>
      </c>
      <c r="B12" t="s">
        <v>12</v>
      </c>
      <c r="C12" t="s">
        <v>17</v>
      </c>
      <c r="D12" t="s">
        <v>21</v>
      </c>
      <c r="E12" s="2" t="s">
        <v>95</v>
      </c>
    </row>
    <row r="13" spans="1:5" x14ac:dyDescent="0.25">
      <c r="A13" t="s">
        <v>25</v>
      </c>
      <c r="B13" t="s">
        <v>13</v>
      </c>
      <c r="C13" t="s">
        <v>17</v>
      </c>
      <c r="D13" t="s">
        <v>21</v>
      </c>
      <c r="E13" s="2" t="s">
        <v>95</v>
      </c>
    </row>
    <row r="14" spans="1:5" x14ac:dyDescent="0.25">
      <c r="A14" t="s">
        <v>40</v>
      </c>
      <c r="B14" t="s">
        <v>26</v>
      </c>
      <c r="C14" t="s">
        <v>16</v>
      </c>
      <c r="D14" t="s">
        <v>22</v>
      </c>
      <c r="E14" s="2" t="s">
        <v>93</v>
      </c>
    </row>
    <row r="15" spans="1:5" x14ac:dyDescent="0.25">
      <c r="A15" t="s">
        <v>40</v>
      </c>
      <c r="B15" t="s">
        <v>27</v>
      </c>
      <c r="C15" t="s">
        <v>14</v>
      </c>
      <c r="D15" t="s">
        <v>21</v>
      </c>
      <c r="E15" s="2" t="s">
        <v>95</v>
      </c>
    </row>
    <row r="16" spans="1:5" x14ac:dyDescent="0.25">
      <c r="A16" t="s">
        <v>40</v>
      </c>
      <c r="B16" t="s">
        <v>28</v>
      </c>
      <c r="C16" t="s">
        <v>14</v>
      </c>
      <c r="D16" t="s">
        <v>21</v>
      </c>
      <c r="E16" s="2" t="s">
        <v>93</v>
      </c>
    </row>
    <row r="17" spans="1:5" x14ac:dyDescent="0.25">
      <c r="A17" t="s">
        <v>40</v>
      </c>
      <c r="B17" t="s">
        <v>29</v>
      </c>
      <c r="C17" t="s">
        <v>14</v>
      </c>
      <c r="D17" t="s">
        <v>21</v>
      </c>
      <c r="E17" s="2" t="s">
        <v>95</v>
      </c>
    </row>
    <row r="18" spans="1:5" x14ac:dyDescent="0.25">
      <c r="A18" t="s">
        <v>40</v>
      </c>
      <c r="B18" t="s">
        <v>30</v>
      </c>
      <c r="C18" t="s">
        <v>14</v>
      </c>
      <c r="D18" t="s">
        <v>21</v>
      </c>
      <c r="E18" s="2" t="s">
        <v>95</v>
      </c>
    </row>
    <row r="19" spans="1:5" x14ac:dyDescent="0.25">
      <c r="A19" t="s">
        <v>40</v>
      </c>
      <c r="B19" t="s">
        <v>31</v>
      </c>
      <c r="C19" t="s">
        <v>14</v>
      </c>
      <c r="D19" t="s">
        <v>21</v>
      </c>
      <c r="E19" s="2" t="s">
        <v>93</v>
      </c>
    </row>
    <row r="20" spans="1:5" x14ac:dyDescent="0.25">
      <c r="A20" t="s">
        <v>40</v>
      </c>
      <c r="B20" t="s">
        <v>32</v>
      </c>
      <c r="C20" t="s">
        <v>19</v>
      </c>
      <c r="D20" t="s">
        <v>21</v>
      </c>
      <c r="E20" s="2" t="s">
        <v>95</v>
      </c>
    </row>
    <row r="21" spans="1:5" x14ac:dyDescent="0.25">
      <c r="A21" t="s">
        <v>40</v>
      </c>
      <c r="B21" t="s">
        <v>33</v>
      </c>
      <c r="C21" t="s">
        <v>14</v>
      </c>
      <c r="D21" t="s">
        <v>21</v>
      </c>
      <c r="E21" s="2" t="s">
        <v>95</v>
      </c>
    </row>
    <row r="22" spans="1:5" x14ac:dyDescent="0.25">
      <c r="A22" t="s">
        <v>40</v>
      </c>
      <c r="B22" t="s">
        <v>34</v>
      </c>
      <c r="C22" t="s">
        <v>14</v>
      </c>
      <c r="D22" t="s">
        <v>21</v>
      </c>
      <c r="E22" s="2" t="s">
        <v>93</v>
      </c>
    </row>
    <row r="23" spans="1:5" x14ac:dyDescent="0.25">
      <c r="A23" t="s">
        <v>40</v>
      </c>
      <c r="B23" t="s">
        <v>35</v>
      </c>
      <c r="C23" t="s">
        <v>18</v>
      </c>
      <c r="D23" t="s">
        <v>21</v>
      </c>
      <c r="E23" s="2" t="s">
        <v>95</v>
      </c>
    </row>
    <row r="24" spans="1:5" x14ac:dyDescent="0.25">
      <c r="A24" t="s">
        <v>40</v>
      </c>
      <c r="B24" t="s">
        <v>36</v>
      </c>
      <c r="C24" t="s">
        <v>14</v>
      </c>
      <c r="D24" t="s">
        <v>21</v>
      </c>
      <c r="E24" s="2" t="s">
        <v>93</v>
      </c>
    </row>
    <row r="25" spans="1:5" x14ac:dyDescent="0.25">
      <c r="A25" t="s">
        <v>40</v>
      </c>
      <c r="B25" t="s">
        <v>37</v>
      </c>
      <c r="C25" t="s">
        <v>19</v>
      </c>
      <c r="D25" t="s">
        <v>21</v>
      </c>
      <c r="E25" s="2" t="s">
        <v>93</v>
      </c>
    </row>
    <row r="26" spans="1:5" x14ac:dyDescent="0.25">
      <c r="A26" t="s">
        <v>40</v>
      </c>
      <c r="B26" t="s">
        <v>38</v>
      </c>
      <c r="C26" t="s">
        <v>14</v>
      </c>
      <c r="D26" t="s">
        <v>21</v>
      </c>
      <c r="E26" s="2" t="s">
        <v>95</v>
      </c>
    </row>
    <row r="27" spans="1:5" x14ac:dyDescent="0.25">
      <c r="A27" t="s">
        <v>40</v>
      </c>
      <c r="B27" t="s">
        <v>39</v>
      </c>
      <c r="C27" t="s">
        <v>19</v>
      </c>
      <c r="D27" t="s">
        <v>21</v>
      </c>
      <c r="E27" s="2" t="s">
        <v>95</v>
      </c>
    </row>
    <row r="28" spans="1:5" x14ac:dyDescent="0.25">
      <c r="A28" t="s">
        <v>41</v>
      </c>
      <c r="B28" t="s">
        <v>42</v>
      </c>
      <c r="C28" t="s">
        <v>17</v>
      </c>
      <c r="D28" t="s">
        <v>21</v>
      </c>
      <c r="E28" s="2" t="s">
        <v>94</v>
      </c>
    </row>
    <row r="29" spans="1:5" x14ac:dyDescent="0.25">
      <c r="A29" t="s">
        <v>41</v>
      </c>
      <c r="B29" t="s">
        <v>43</v>
      </c>
      <c r="C29" t="s">
        <v>18</v>
      </c>
      <c r="D29" t="s">
        <v>21</v>
      </c>
      <c r="E29" s="2" t="s">
        <v>94</v>
      </c>
    </row>
    <row r="30" spans="1:5" x14ac:dyDescent="0.25">
      <c r="A30" t="s">
        <v>41</v>
      </c>
      <c r="B30" t="s">
        <v>44</v>
      </c>
      <c r="C30" t="s">
        <v>20</v>
      </c>
      <c r="D30" t="s">
        <v>21</v>
      </c>
      <c r="E30" s="2" t="s">
        <v>94</v>
      </c>
    </row>
    <row r="31" spans="1:5" x14ac:dyDescent="0.25">
      <c r="A31" t="s">
        <v>41</v>
      </c>
      <c r="B31" t="s">
        <v>45</v>
      </c>
      <c r="C31" t="s">
        <v>20</v>
      </c>
      <c r="D31" t="s">
        <v>21</v>
      </c>
      <c r="E31" s="2" t="s">
        <v>94</v>
      </c>
    </row>
    <row r="32" spans="1:5" x14ac:dyDescent="0.25">
      <c r="A32" t="s">
        <v>41</v>
      </c>
      <c r="B32" t="s">
        <v>46</v>
      </c>
      <c r="C32" t="s">
        <v>17</v>
      </c>
      <c r="D32" t="s">
        <v>21</v>
      </c>
      <c r="E32" s="2" t="s">
        <v>94</v>
      </c>
    </row>
    <row r="33" spans="1:5" x14ac:dyDescent="0.25">
      <c r="A33" t="s">
        <v>41</v>
      </c>
      <c r="B33" t="s">
        <v>47</v>
      </c>
      <c r="C33" t="s">
        <v>17</v>
      </c>
      <c r="D33" t="s">
        <v>21</v>
      </c>
      <c r="E33" s="2" t="s">
        <v>94</v>
      </c>
    </row>
    <row r="34" spans="1:5" x14ac:dyDescent="0.25">
      <c r="A34" t="s">
        <v>41</v>
      </c>
      <c r="B34" t="s">
        <v>48</v>
      </c>
      <c r="C34" t="s">
        <v>20</v>
      </c>
      <c r="D34" t="s">
        <v>21</v>
      </c>
      <c r="E34" s="2" t="s">
        <v>94</v>
      </c>
    </row>
    <row r="35" spans="1:5" x14ac:dyDescent="0.25">
      <c r="A35" t="s">
        <v>70</v>
      </c>
      <c r="B35" t="s">
        <v>49</v>
      </c>
      <c r="C35" t="s">
        <v>20</v>
      </c>
      <c r="D35" t="s">
        <v>21</v>
      </c>
      <c r="E35" s="2" t="s">
        <v>95</v>
      </c>
    </row>
    <row r="36" spans="1:5" x14ac:dyDescent="0.25">
      <c r="A36" t="s">
        <v>70</v>
      </c>
      <c r="B36" t="s">
        <v>50</v>
      </c>
      <c r="C36" t="s">
        <v>20</v>
      </c>
      <c r="D36" t="s">
        <v>21</v>
      </c>
      <c r="E36" s="2" t="s">
        <v>95</v>
      </c>
    </row>
    <row r="37" spans="1:5" x14ac:dyDescent="0.25">
      <c r="A37" t="s">
        <v>70</v>
      </c>
      <c r="B37" t="s">
        <v>51</v>
      </c>
      <c r="C37" t="s">
        <v>71</v>
      </c>
      <c r="D37" t="s">
        <v>21</v>
      </c>
      <c r="E37" s="2" t="s">
        <v>93</v>
      </c>
    </row>
    <row r="38" spans="1:5" x14ac:dyDescent="0.25">
      <c r="A38" t="s">
        <v>70</v>
      </c>
      <c r="B38" t="s">
        <v>52</v>
      </c>
      <c r="C38" t="s">
        <v>19</v>
      </c>
      <c r="D38" t="s">
        <v>21</v>
      </c>
      <c r="E38" s="2" t="s">
        <v>95</v>
      </c>
    </row>
    <row r="39" spans="1:5" x14ac:dyDescent="0.25">
      <c r="A39" t="s">
        <v>70</v>
      </c>
      <c r="B39" t="s">
        <v>53</v>
      </c>
      <c r="C39" t="s">
        <v>17</v>
      </c>
      <c r="D39" t="s">
        <v>21</v>
      </c>
      <c r="E39" s="2" t="s">
        <v>93</v>
      </c>
    </row>
    <row r="40" spans="1:5" x14ac:dyDescent="0.25">
      <c r="A40" t="s">
        <v>70</v>
      </c>
      <c r="B40" t="s">
        <v>54</v>
      </c>
      <c r="C40" t="s">
        <v>20</v>
      </c>
      <c r="D40" t="s">
        <v>21</v>
      </c>
      <c r="E40" s="2" t="s">
        <v>93</v>
      </c>
    </row>
    <row r="41" spans="1:5" x14ac:dyDescent="0.25">
      <c r="A41" t="s">
        <v>70</v>
      </c>
      <c r="B41" t="s">
        <v>55</v>
      </c>
      <c r="C41" t="s">
        <v>20</v>
      </c>
      <c r="D41" t="s">
        <v>21</v>
      </c>
      <c r="E41" s="2" t="s">
        <v>93</v>
      </c>
    </row>
    <row r="42" spans="1:5" x14ac:dyDescent="0.25">
      <c r="A42" t="s">
        <v>70</v>
      </c>
      <c r="B42" t="s">
        <v>56</v>
      </c>
      <c r="C42" t="s">
        <v>17</v>
      </c>
      <c r="D42" t="s">
        <v>21</v>
      </c>
      <c r="E42" s="2" t="s">
        <v>95</v>
      </c>
    </row>
    <row r="43" spans="1:5" x14ac:dyDescent="0.25">
      <c r="A43" t="s">
        <v>70</v>
      </c>
      <c r="B43" t="s">
        <v>57</v>
      </c>
      <c r="C43" t="s">
        <v>17</v>
      </c>
      <c r="D43" t="s">
        <v>21</v>
      </c>
      <c r="E43" s="2" t="s">
        <v>95</v>
      </c>
    </row>
    <row r="44" spans="1:5" x14ac:dyDescent="0.25">
      <c r="A44" t="s">
        <v>70</v>
      </c>
      <c r="B44" t="s">
        <v>58</v>
      </c>
      <c r="C44" t="s">
        <v>20</v>
      </c>
      <c r="D44" t="s">
        <v>21</v>
      </c>
      <c r="E44" s="2" t="s">
        <v>95</v>
      </c>
    </row>
    <row r="45" spans="1:5" x14ac:dyDescent="0.25">
      <c r="A45" t="s">
        <v>70</v>
      </c>
      <c r="B45" t="s">
        <v>59</v>
      </c>
      <c r="C45" t="s">
        <v>20</v>
      </c>
      <c r="D45" t="s">
        <v>21</v>
      </c>
      <c r="E45" s="2" t="s">
        <v>93</v>
      </c>
    </row>
    <row r="46" spans="1:5" x14ac:dyDescent="0.25">
      <c r="A46" t="s">
        <v>70</v>
      </c>
      <c r="B46" t="s">
        <v>60</v>
      </c>
      <c r="C46" t="s">
        <v>17</v>
      </c>
      <c r="D46" t="s">
        <v>21</v>
      </c>
      <c r="E46" s="2" t="s">
        <v>95</v>
      </c>
    </row>
    <row r="47" spans="1:5" x14ac:dyDescent="0.25">
      <c r="A47" t="s">
        <v>70</v>
      </c>
      <c r="B47" t="s">
        <v>61</v>
      </c>
      <c r="C47" t="s">
        <v>71</v>
      </c>
      <c r="D47" t="s">
        <v>21</v>
      </c>
      <c r="E47" s="2" t="s">
        <v>93</v>
      </c>
    </row>
    <row r="48" spans="1:5" x14ac:dyDescent="0.25">
      <c r="A48" t="s">
        <v>70</v>
      </c>
      <c r="B48" t="s">
        <v>62</v>
      </c>
      <c r="C48" t="s">
        <v>20</v>
      </c>
      <c r="D48" t="s">
        <v>21</v>
      </c>
      <c r="E48" s="2" t="s">
        <v>95</v>
      </c>
    </row>
    <row r="49" spans="1:5" x14ac:dyDescent="0.25">
      <c r="A49" t="s">
        <v>70</v>
      </c>
      <c r="B49" t="s">
        <v>63</v>
      </c>
      <c r="C49" t="s">
        <v>20</v>
      </c>
      <c r="D49" t="s">
        <v>21</v>
      </c>
      <c r="E49" s="2" t="s">
        <v>93</v>
      </c>
    </row>
    <row r="50" spans="1:5" x14ac:dyDescent="0.25">
      <c r="A50" t="s">
        <v>70</v>
      </c>
      <c r="B50" t="s">
        <v>64</v>
      </c>
      <c r="C50" t="s">
        <v>20</v>
      </c>
      <c r="D50" t="s">
        <v>21</v>
      </c>
      <c r="E50" s="2" t="s">
        <v>93</v>
      </c>
    </row>
    <row r="51" spans="1:5" x14ac:dyDescent="0.25">
      <c r="A51" t="s">
        <v>70</v>
      </c>
      <c r="B51" t="s">
        <v>65</v>
      </c>
      <c r="C51" t="s">
        <v>20</v>
      </c>
      <c r="D51" t="s">
        <v>21</v>
      </c>
      <c r="E51" s="2" t="s">
        <v>95</v>
      </c>
    </row>
    <row r="52" spans="1:5" x14ac:dyDescent="0.25">
      <c r="A52" t="s">
        <v>70</v>
      </c>
      <c r="B52" t="s">
        <v>66</v>
      </c>
      <c r="C52" t="s">
        <v>17</v>
      </c>
      <c r="D52" t="s">
        <v>21</v>
      </c>
      <c r="E52" s="2" t="s">
        <v>93</v>
      </c>
    </row>
    <row r="53" spans="1:5" x14ac:dyDescent="0.25">
      <c r="A53" t="s">
        <v>70</v>
      </c>
      <c r="B53" t="s">
        <v>67</v>
      </c>
      <c r="C53" t="s">
        <v>16</v>
      </c>
      <c r="D53" t="s">
        <v>22</v>
      </c>
      <c r="E53" s="2" t="s">
        <v>95</v>
      </c>
    </row>
    <row r="54" spans="1:5" x14ac:dyDescent="0.25">
      <c r="A54" t="s">
        <v>70</v>
      </c>
      <c r="B54" t="s">
        <v>68</v>
      </c>
      <c r="C54" t="s">
        <v>20</v>
      </c>
      <c r="D54" t="s">
        <v>21</v>
      </c>
      <c r="E54" s="2" t="s">
        <v>95</v>
      </c>
    </row>
    <row r="55" spans="1:5" x14ac:dyDescent="0.25">
      <c r="A55" t="s">
        <v>70</v>
      </c>
      <c r="B55" t="s">
        <v>69</v>
      </c>
      <c r="C55" t="s">
        <v>20</v>
      </c>
      <c r="D55" t="s">
        <v>21</v>
      </c>
      <c r="E55" s="2" t="s">
        <v>95</v>
      </c>
    </row>
    <row r="56" spans="1:5" x14ac:dyDescent="0.25">
      <c r="A56" t="s">
        <v>72</v>
      </c>
      <c r="B56" t="s">
        <v>73</v>
      </c>
      <c r="C56" t="s">
        <v>18</v>
      </c>
      <c r="D56" t="s">
        <v>21</v>
      </c>
      <c r="E56" s="2" t="s">
        <v>95</v>
      </c>
    </row>
    <row r="57" spans="1:5" x14ac:dyDescent="0.25">
      <c r="A57" t="s">
        <v>72</v>
      </c>
      <c r="B57" t="s">
        <v>74</v>
      </c>
      <c r="C57" t="s">
        <v>20</v>
      </c>
      <c r="D57" t="s">
        <v>21</v>
      </c>
      <c r="E57" s="2" t="s">
        <v>93</v>
      </c>
    </row>
    <row r="58" spans="1:5" x14ac:dyDescent="0.25">
      <c r="A58" t="s">
        <v>72</v>
      </c>
      <c r="B58" t="s">
        <v>75</v>
      </c>
      <c r="C58" t="s">
        <v>16</v>
      </c>
      <c r="D58" t="s">
        <v>22</v>
      </c>
      <c r="E58" s="2" t="s">
        <v>95</v>
      </c>
    </row>
    <row r="59" spans="1:5" x14ac:dyDescent="0.25">
      <c r="A59" t="s">
        <v>72</v>
      </c>
      <c r="B59" t="s">
        <v>76</v>
      </c>
      <c r="C59" t="s">
        <v>17</v>
      </c>
      <c r="D59" t="s">
        <v>21</v>
      </c>
      <c r="E59" s="2" t="s">
        <v>93</v>
      </c>
    </row>
    <row r="60" spans="1:5" x14ac:dyDescent="0.25">
      <c r="A60" t="s">
        <v>72</v>
      </c>
      <c r="B60" t="s">
        <v>77</v>
      </c>
      <c r="C60" t="s">
        <v>19</v>
      </c>
      <c r="D60" t="s">
        <v>21</v>
      </c>
      <c r="E60" s="2" t="s">
        <v>93</v>
      </c>
    </row>
    <row r="61" spans="1:5" x14ac:dyDescent="0.25">
      <c r="A61" t="s">
        <v>72</v>
      </c>
      <c r="B61" t="s">
        <v>78</v>
      </c>
      <c r="C61" t="s">
        <v>20</v>
      </c>
      <c r="D61" t="s">
        <v>21</v>
      </c>
      <c r="E61" s="2" t="s">
        <v>93</v>
      </c>
    </row>
    <row r="62" spans="1:5" x14ac:dyDescent="0.25">
      <c r="A62" t="s">
        <v>72</v>
      </c>
      <c r="B62" t="s">
        <v>79</v>
      </c>
      <c r="C62" t="s">
        <v>17</v>
      </c>
      <c r="D62" t="s">
        <v>21</v>
      </c>
      <c r="E62" s="2" t="s">
        <v>93</v>
      </c>
    </row>
    <row r="63" spans="1:5" x14ac:dyDescent="0.25">
      <c r="A63" t="s">
        <v>72</v>
      </c>
      <c r="B63" t="s">
        <v>80</v>
      </c>
      <c r="C63" t="s">
        <v>17</v>
      </c>
      <c r="D63" t="s">
        <v>21</v>
      </c>
      <c r="E63" s="2" t="s">
        <v>93</v>
      </c>
    </row>
    <row r="64" spans="1:5" x14ac:dyDescent="0.25">
      <c r="A64" t="s">
        <v>72</v>
      </c>
      <c r="B64" t="s">
        <v>81</v>
      </c>
      <c r="C64" t="s">
        <v>19</v>
      </c>
      <c r="D64" t="s">
        <v>21</v>
      </c>
      <c r="E64" s="2" t="s">
        <v>95</v>
      </c>
    </row>
    <row r="65" spans="1:5" x14ac:dyDescent="0.25">
      <c r="A65" t="s">
        <v>72</v>
      </c>
      <c r="B65" t="s">
        <v>82</v>
      </c>
      <c r="C65" t="s">
        <v>17</v>
      </c>
      <c r="D65" t="s">
        <v>21</v>
      </c>
      <c r="E65" s="2" t="s">
        <v>93</v>
      </c>
    </row>
    <row r="66" spans="1:5" x14ac:dyDescent="0.25">
      <c r="A66" t="s">
        <v>72</v>
      </c>
      <c r="B66" t="s">
        <v>83</v>
      </c>
      <c r="C66" t="s">
        <v>17</v>
      </c>
      <c r="D66" t="s">
        <v>21</v>
      </c>
      <c r="E66" s="2" t="s">
        <v>93</v>
      </c>
    </row>
    <row r="67" spans="1:5" x14ac:dyDescent="0.25">
      <c r="A67" t="s">
        <v>72</v>
      </c>
      <c r="B67" t="s">
        <v>84</v>
      </c>
      <c r="C67" t="s">
        <v>19</v>
      </c>
      <c r="D67" t="s">
        <v>21</v>
      </c>
      <c r="E67" s="2" t="s">
        <v>95</v>
      </c>
    </row>
    <row r="68" spans="1:5" x14ac:dyDescent="0.25">
      <c r="A68" t="s">
        <v>72</v>
      </c>
      <c r="B68" t="s">
        <v>85</v>
      </c>
      <c r="C68" t="s">
        <v>17</v>
      </c>
      <c r="D68" t="s">
        <v>21</v>
      </c>
      <c r="E68" s="2" t="s">
        <v>93</v>
      </c>
    </row>
    <row r="69" spans="1:5" x14ac:dyDescent="0.25">
      <c r="A69" t="s">
        <v>72</v>
      </c>
      <c r="B69" t="s">
        <v>86</v>
      </c>
      <c r="C69" t="s">
        <v>18</v>
      </c>
      <c r="D69" t="s">
        <v>21</v>
      </c>
      <c r="E69" s="2" t="s">
        <v>93</v>
      </c>
    </row>
    <row r="70" spans="1:5" x14ac:dyDescent="0.25">
      <c r="A70" t="s">
        <v>72</v>
      </c>
      <c r="B70" t="s">
        <v>87</v>
      </c>
      <c r="C70" t="s">
        <v>17</v>
      </c>
      <c r="D70" t="s">
        <v>21</v>
      </c>
      <c r="E70" s="2" t="s">
        <v>93</v>
      </c>
    </row>
    <row r="71" spans="1:5" x14ac:dyDescent="0.25">
      <c r="A71" t="s">
        <v>72</v>
      </c>
      <c r="B71" t="s">
        <v>88</v>
      </c>
      <c r="C71" t="s">
        <v>14</v>
      </c>
      <c r="D71" t="s">
        <v>21</v>
      </c>
      <c r="E71" s="2" t="s">
        <v>93</v>
      </c>
    </row>
    <row r="72" spans="1:5" x14ac:dyDescent="0.25">
      <c r="A72" t="s">
        <v>72</v>
      </c>
      <c r="B72" t="s">
        <v>89</v>
      </c>
      <c r="C72" t="s">
        <v>19</v>
      </c>
      <c r="D72" t="s">
        <v>21</v>
      </c>
      <c r="E72" s="2" t="s">
        <v>95</v>
      </c>
    </row>
    <row r="73" spans="1:5" x14ac:dyDescent="0.25">
      <c r="A73" t="s">
        <v>72</v>
      </c>
      <c r="B73" t="s">
        <v>90</v>
      </c>
      <c r="C73" t="s">
        <v>19</v>
      </c>
      <c r="D73" t="s">
        <v>21</v>
      </c>
      <c r="E73" s="2" t="s">
        <v>93</v>
      </c>
    </row>
    <row r="74" spans="1:5" x14ac:dyDescent="0.25">
      <c r="A74" t="s">
        <v>72</v>
      </c>
      <c r="B74" t="s">
        <v>91</v>
      </c>
      <c r="C74" t="s">
        <v>16</v>
      </c>
      <c r="D74" t="s">
        <v>22</v>
      </c>
      <c r="E74" s="2" t="s">
        <v>93</v>
      </c>
    </row>
  </sheetData>
  <autoFilter ref="A1:E74" xr:uid="{00000000-0009-0000-0000-000000000000}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opLeftCell="A16" workbookViewId="0">
      <selection activeCell="B30" sqref="B30:G35"/>
    </sheetView>
  </sheetViews>
  <sheetFormatPr defaultRowHeight="15" x14ac:dyDescent="0.25"/>
  <cols>
    <col min="1" max="1" width="30.85546875" customWidth="1"/>
    <col min="2" max="6" width="14.28515625" bestFit="1" customWidth="1"/>
    <col min="7" max="7" width="13.28515625" bestFit="1" customWidth="1"/>
    <col min="8" max="10" width="14.28515625" bestFit="1" customWidth="1"/>
    <col min="11" max="11" width="15.28515625" bestFit="1" customWidth="1"/>
  </cols>
  <sheetData>
    <row r="1" spans="1:11" x14ac:dyDescent="0.25">
      <c r="A1" s="21" t="s">
        <v>96</v>
      </c>
      <c r="B1" s="23" t="s">
        <v>97</v>
      </c>
      <c r="C1" s="24"/>
      <c r="D1" s="23" t="s">
        <v>98</v>
      </c>
      <c r="E1" s="24"/>
      <c r="F1" s="3" t="s">
        <v>99</v>
      </c>
      <c r="G1" s="23" t="s">
        <v>100</v>
      </c>
      <c r="H1" s="24"/>
      <c r="I1" s="23" t="s">
        <v>101</v>
      </c>
      <c r="J1" s="24"/>
      <c r="K1" s="3" t="s">
        <v>102</v>
      </c>
    </row>
    <row r="2" spans="1:11" x14ac:dyDescent="0.25">
      <c r="A2" s="22"/>
      <c r="B2" s="3" t="s">
        <v>103</v>
      </c>
      <c r="C2" s="3" t="s">
        <v>104</v>
      </c>
      <c r="D2" s="3" t="s">
        <v>103</v>
      </c>
      <c r="E2" s="3" t="s">
        <v>104</v>
      </c>
      <c r="F2" s="3" t="s">
        <v>105</v>
      </c>
      <c r="G2" s="3" t="s">
        <v>103</v>
      </c>
      <c r="H2" s="3" t="s">
        <v>104</v>
      </c>
      <c r="I2" s="3" t="s">
        <v>103</v>
      </c>
      <c r="J2" s="3" t="s">
        <v>104</v>
      </c>
      <c r="K2" s="4"/>
    </row>
    <row r="3" spans="1:11" x14ac:dyDescent="0.25">
      <c r="A3" s="5" t="s">
        <v>106</v>
      </c>
      <c r="B3" s="6">
        <v>5065000</v>
      </c>
      <c r="C3" s="6">
        <v>4519000</v>
      </c>
      <c r="D3" s="6">
        <v>2993000</v>
      </c>
      <c r="E3" s="6">
        <v>3146000</v>
      </c>
      <c r="F3" s="6">
        <v>5494000</v>
      </c>
      <c r="G3" s="6">
        <v>1761000</v>
      </c>
      <c r="H3" s="6">
        <v>5569000</v>
      </c>
      <c r="I3" s="6">
        <v>4181000</v>
      </c>
      <c r="J3" s="6">
        <v>3149000</v>
      </c>
      <c r="K3" s="7">
        <f>SUM(B3:J3)</f>
        <v>35877000</v>
      </c>
    </row>
    <row r="4" spans="1:11" ht="26.25" x14ac:dyDescent="0.25">
      <c r="A4" s="5" t="s">
        <v>107</v>
      </c>
      <c r="B4" s="6">
        <v>1503000</v>
      </c>
      <c r="C4" s="6">
        <v>1341000</v>
      </c>
      <c r="D4" s="6">
        <v>888000</v>
      </c>
      <c r="E4" s="6">
        <v>934000</v>
      </c>
      <c r="F4" s="6">
        <v>1630000</v>
      </c>
      <c r="G4" s="6">
        <v>523000</v>
      </c>
      <c r="H4" s="6">
        <v>1652000</v>
      </c>
      <c r="I4" s="6">
        <v>1241000</v>
      </c>
      <c r="J4" s="6">
        <v>934000</v>
      </c>
      <c r="K4" s="7">
        <f t="shared" ref="K4:K13" si="0">SUM(B4:J4)</f>
        <v>10646000</v>
      </c>
    </row>
    <row r="5" spans="1:11" x14ac:dyDescent="0.25">
      <c r="A5" s="5" t="s">
        <v>108</v>
      </c>
      <c r="B5" s="6">
        <v>2048000</v>
      </c>
      <c r="C5" s="6">
        <v>1827000</v>
      </c>
      <c r="D5" s="6">
        <v>1210000</v>
      </c>
      <c r="E5" s="6">
        <v>1272000</v>
      </c>
      <c r="F5" s="6">
        <v>2221000</v>
      </c>
      <c r="G5" s="6">
        <v>712000</v>
      </c>
      <c r="H5" s="6">
        <v>2251000</v>
      </c>
      <c r="I5" s="6">
        <v>1690000</v>
      </c>
      <c r="J5" s="6">
        <v>1273000</v>
      </c>
      <c r="K5" s="7">
        <f t="shared" si="0"/>
        <v>14504000</v>
      </c>
    </row>
    <row r="6" spans="1:11" ht="26.25" x14ac:dyDescent="0.25">
      <c r="A6" s="5" t="s">
        <v>109</v>
      </c>
      <c r="B6" s="6">
        <v>5439000</v>
      </c>
      <c r="C6" s="6">
        <v>4854000</v>
      </c>
      <c r="D6" s="6">
        <v>33623000</v>
      </c>
      <c r="E6" s="6">
        <v>35348000</v>
      </c>
      <c r="F6" s="6">
        <v>5726000</v>
      </c>
      <c r="G6" s="6">
        <v>1317000</v>
      </c>
      <c r="H6" s="6">
        <v>4162000</v>
      </c>
      <c r="I6" s="6">
        <v>3125000</v>
      </c>
      <c r="J6" s="6">
        <v>2354000</v>
      </c>
      <c r="K6" s="7">
        <f t="shared" si="0"/>
        <v>95948000</v>
      </c>
    </row>
    <row r="7" spans="1:11" x14ac:dyDescent="0.25">
      <c r="A7" s="5" t="s">
        <v>110</v>
      </c>
      <c r="B7" s="6">
        <v>2684000</v>
      </c>
      <c r="C7" s="6">
        <v>2395000</v>
      </c>
      <c r="D7" s="6">
        <v>1586000</v>
      </c>
      <c r="E7" s="6">
        <v>1667000</v>
      </c>
      <c r="F7" s="6">
        <v>2911000</v>
      </c>
      <c r="G7" s="6">
        <v>933000</v>
      </c>
      <c r="H7" s="6">
        <v>2950000</v>
      </c>
      <c r="I7" s="6">
        <v>2215000</v>
      </c>
      <c r="J7" s="6">
        <v>1668000</v>
      </c>
      <c r="K7" s="7">
        <f t="shared" si="0"/>
        <v>19009000</v>
      </c>
    </row>
    <row r="8" spans="1:11" ht="26.25" x14ac:dyDescent="0.25">
      <c r="A8" s="5" t="s">
        <v>111</v>
      </c>
      <c r="B8" s="6">
        <v>4270000</v>
      </c>
      <c r="C8" s="6">
        <v>3810000</v>
      </c>
      <c r="D8" s="6">
        <v>3870000</v>
      </c>
      <c r="E8" s="6">
        <v>4068000</v>
      </c>
      <c r="F8" s="6">
        <v>4583000</v>
      </c>
      <c r="G8" s="6">
        <v>1333000</v>
      </c>
      <c r="H8" s="6">
        <v>4216000</v>
      </c>
      <c r="I8" s="6">
        <v>3165000</v>
      </c>
      <c r="J8" s="6">
        <v>2384000</v>
      </c>
      <c r="K8" s="7">
        <f t="shared" si="0"/>
        <v>31699000</v>
      </c>
    </row>
    <row r="9" spans="1:11" x14ac:dyDescent="0.25">
      <c r="A9" s="5" t="s">
        <v>112</v>
      </c>
      <c r="B9" s="6">
        <v>754000</v>
      </c>
      <c r="C9" s="6">
        <v>672000</v>
      </c>
      <c r="D9" s="6">
        <v>638000</v>
      </c>
      <c r="E9" s="6">
        <v>670000</v>
      </c>
      <c r="F9" s="6">
        <v>1426000</v>
      </c>
      <c r="G9" s="6">
        <v>328000</v>
      </c>
      <c r="H9" s="6">
        <v>1038000</v>
      </c>
      <c r="I9" s="6">
        <v>780000</v>
      </c>
      <c r="J9" s="6">
        <v>587000</v>
      </c>
      <c r="K9" s="7">
        <f t="shared" si="0"/>
        <v>6893000</v>
      </c>
    </row>
    <row r="10" spans="1:11" ht="26.25" x14ac:dyDescent="0.25">
      <c r="A10" s="5" t="s">
        <v>113</v>
      </c>
      <c r="B10" s="6">
        <v>912000</v>
      </c>
      <c r="C10" s="6">
        <v>814000</v>
      </c>
      <c r="D10" s="6">
        <v>841000</v>
      </c>
      <c r="E10" s="6">
        <v>884000</v>
      </c>
      <c r="F10" s="6">
        <v>1726000</v>
      </c>
      <c r="G10" s="6">
        <v>415000</v>
      </c>
      <c r="H10" s="6">
        <v>1311000</v>
      </c>
      <c r="I10" s="6">
        <v>984000</v>
      </c>
      <c r="J10" s="6">
        <v>741000</v>
      </c>
      <c r="K10" s="7">
        <f t="shared" si="0"/>
        <v>8628000</v>
      </c>
    </row>
    <row r="11" spans="1:11" x14ac:dyDescent="0.25">
      <c r="A11" s="5" t="s">
        <v>114</v>
      </c>
      <c r="B11" s="6">
        <v>2060000</v>
      </c>
      <c r="C11" s="6">
        <v>1839000</v>
      </c>
      <c r="D11" s="6">
        <v>1218000</v>
      </c>
      <c r="E11" s="6">
        <v>1280000</v>
      </c>
      <c r="F11" s="6">
        <v>2235000</v>
      </c>
      <c r="G11" s="6">
        <v>717000</v>
      </c>
      <c r="H11" s="6">
        <v>2265000</v>
      </c>
      <c r="I11" s="6">
        <v>1701000</v>
      </c>
      <c r="J11" s="6">
        <v>1281000</v>
      </c>
      <c r="K11" s="7">
        <f t="shared" si="0"/>
        <v>14596000</v>
      </c>
    </row>
    <row r="12" spans="1:11" ht="26.25" x14ac:dyDescent="0.25">
      <c r="A12" s="5" t="s">
        <v>115</v>
      </c>
      <c r="B12" s="6">
        <v>142000</v>
      </c>
      <c r="C12" s="6">
        <v>127000</v>
      </c>
      <c r="D12" s="6">
        <v>84000</v>
      </c>
      <c r="E12" s="6">
        <v>88000</v>
      </c>
      <c r="F12" s="6">
        <v>154000</v>
      </c>
      <c r="G12" s="6">
        <v>49000</v>
      </c>
      <c r="H12" s="6">
        <v>156000</v>
      </c>
      <c r="I12" s="6">
        <v>117000</v>
      </c>
      <c r="J12" s="6">
        <v>88000</v>
      </c>
      <c r="K12" s="7">
        <f t="shared" si="0"/>
        <v>1005000</v>
      </c>
    </row>
    <row r="13" spans="1:11" x14ac:dyDescent="0.25">
      <c r="A13" s="5" t="s">
        <v>102</v>
      </c>
      <c r="B13" s="7">
        <f>SUM(B3:B12)</f>
        <v>24877000</v>
      </c>
      <c r="C13" s="7">
        <f t="shared" ref="C13:J13" si="1">SUM(C3:C12)</f>
        <v>22198000</v>
      </c>
      <c r="D13" s="7">
        <f t="shared" si="1"/>
        <v>46951000</v>
      </c>
      <c r="E13" s="7">
        <f t="shared" si="1"/>
        <v>49357000</v>
      </c>
      <c r="F13" s="7">
        <f t="shared" si="1"/>
        <v>28106000</v>
      </c>
      <c r="G13" s="7">
        <f t="shared" si="1"/>
        <v>8088000</v>
      </c>
      <c r="H13" s="7">
        <f t="shared" si="1"/>
        <v>25570000</v>
      </c>
      <c r="I13" s="7">
        <f t="shared" si="1"/>
        <v>19199000</v>
      </c>
      <c r="J13" s="7">
        <f t="shared" si="1"/>
        <v>14459000</v>
      </c>
      <c r="K13" s="7">
        <f t="shared" si="0"/>
        <v>238805000</v>
      </c>
    </row>
    <row r="15" spans="1:11" x14ac:dyDescent="0.25">
      <c r="A15" s="8" t="s">
        <v>1</v>
      </c>
      <c r="B15" s="9">
        <v>2</v>
      </c>
      <c r="C15" s="9">
        <v>10</v>
      </c>
      <c r="D15" s="9">
        <v>6</v>
      </c>
      <c r="E15" s="9">
        <v>8</v>
      </c>
      <c r="F15" s="9">
        <v>7</v>
      </c>
      <c r="G15" s="9">
        <v>9</v>
      </c>
      <c r="H15" s="9">
        <v>12</v>
      </c>
      <c r="I15" s="9">
        <v>14</v>
      </c>
      <c r="J15" s="9">
        <v>5</v>
      </c>
      <c r="K15" s="9">
        <f>SUM(B15:J15)</f>
        <v>73</v>
      </c>
    </row>
    <row r="16" spans="1:11" x14ac:dyDescent="0.25">
      <c r="A16" s="8" t="s">
        <v>116</v>
      </c>
      <c r="B16" s="9">
        <v>365477</v>
      </c>
      <c r="C16" s="9">
        <v>326089</v>
      </c>
      <c r="D16" s="9">
        <v>341559</v>
      </c>
      <c r="E16" s="9">
        <v>359094</v>
      </c>
      <c r="F16" s="9">
        <v>127152</v>
      </c>
      <c r="G16" s="9">
        <v>116587</v>
      </c>
      <c r="H16" s="9">
        <v>368501</v>
      </c>
      <c r="I16" s="9">
        <v>337825</v>
      </c>
      <c r="J16" s="9">
        <v>254425</v>
      </c>
      <c r="K16" s="9">
        <f>SUM(B16:J16)</f>
        <v>2596709</v>
      </c>
    </row>
    <row r="17" spans="1:11" x14ac:dyDescent="0.25">
      <c r="A17" s="8" t="s">
        <v>117</v>
      </c>
      <c r="B17" s="10">
        <f>B16/2596709</f>
        <v>0.14074622916930624</v>
      </c>
      <c r="C17" s="10">
        <f t="shared" ref="C17:J17" si="2">C16/2596709</f>
        <v>0.12557779866746716</v>
      </c>
      <c r="D17" s="10">
        <f t="shared" si="2"/>
        <v>0.13153533953939389</v>
      </c>
      <c r="E17" s="10">
        <f t="shared" si="2"/>
        <v>0.13828811776752806</v>
      </c>
      <c r="F17" s="10">
        <f t="shared" si="2"/>
        <v>4.8966595794908092E-2</v>
      </c>
      <c r="G17" s="10">
        <f t="shared" si="2"/>
        <v>4.4897984333246425E-2</v>
      </c>
      <c r="H17" s="10">
        <f t="shared" si="2"/>
        <v>0.14191078014517608</v>
      </c>
      <c r="I17" s="10">
        <f t="shared" si="2"/>
        <v>0.13009736555000964</v>
      </c>
      <c r="J17" s="10">
        <f t="shared" si="2"/>
        <v>9.7979789032964421E-2</v>
      </c>
    </row>
    <row r="18" spans="1:11" x14ac:dyDescent="0.25">
      <c r="B18" s="10"/>
      <c r="C18" s="10">
        <v>0.27</v>
      </c>
      <c r="D18" s="10"/>
      <c r="E18" s="10">
        <v>0.27</v>
      </c>
      <c r="F18" s="10">
        <v>0.05</v>
      </c>
      <c r="G18" s="10"/>
      <c r="H18" s="10">
        <v>0.19</v>
      </c>
      <c r="I18" s="10"/>
      <c r="J18" s="10">
        <v>0.23</v>
      </c>
    </row>
    <row r="19" spans="1:11" x14ac:dyDescent="0.25">
      <c r="A19" s="8" t="s">
        <v>118</v>
      </c>
      <c r="B19">
        <v>9417</v>
      </c>
      <c r="C19">
        <v>5370</v>
      </c>
      <c r="D19">
        <v>3461</v>
      </c>
      <c r="E19">
        <v>3398</v>
      </c>
      <c r="F19">
        <v>2989</v>
      </c>
      <c r="G19">
        <v>2516</v>
      </c>
      <c r="H19">
        <v>8159</v>
      </c>
      <c r="I19">
        <v>5481</v>
      </c>
      <c r="J19">
        <v>4875</v>
      </c>
      <c r="K19" s="9">
        <f>SUM(B19:J19)</f>
        <v>45666</v>
      </c>
    </row>
    <row r="20" spans="1:11" x14ac:dyDescent="0.25">
      <c r="B20" s="10">
        <f>B19/45666</f>
        <v>0.20621468926553671</v>
      </c>
      <c r="C20" s="10">
        <f t="shared" ref="C20:J20" si="3">C19/45666</f>
        <v>0.11759295756142425</v>
      </c>
      <c r="D20" s="10">
        <f t="shared" si="3"/>
        <v>7.5789427582884428E-2</v>
      </c>
      <c r="E20" s="10">
        <f t="shared" si="3"/>
        <v>7.4409845399202909E-2</v>
      </c>
      <c r="F20" s="10">
        <f t="shared" si="3"/>
        <v>6.545351027022292E-2</v>
      </c>
      <c r="G20" s="10">
        <f t="shared" si="3"/>
        <v>5.5095694827661718E-2</v>
      </c>
      <c r="H20" s="10">
        <f t="shared" si="3"/>
        <v>0.17866684185170587</v>
      </c>
      <c r="I20" s="10">
        <f t="shared" si="3"/>
        <v>0.12002364998029168</v>
      </c>
      <c r="J20" s="10">
        <f t="shared" si="3"/>
        <v>0.10675338326106951</v>
      </c>
    </row>
    <row r="21" spans="1:11" x14ac:dyDescent="0.25">
      <c r="B21" s="10"/>
      <c r="C21" s="10">
        <v>0.32</v>
      </c>
      <c r="D21" s="10"/>
      <c r="E21" s="10">
        <v>0.15</v>
      </c>
      <c r="F21" s="10">
        <v>7.0000000000000007E-2</v>
      </c>
      <c r="G21" s="10"/>
      <c r="H21" s="10">
        <v>0.23</v>
      </c>
      <c r="I21" s="10"/>
      <c r="J21" s="10">
        <v>0.23</v>
      </c>
    </row>
    <row r="22" spans="1:11" x14ac:dyDescent="0.25">
      <c r="C22" s="11">
        <f>AVERAGE(C18,C21)</f>
        <v>0.29500000000000004</v>
      </c>
      <c r="E22" s="11">
        <f>AVERAGE(E18,E21)</f>
        <v>0.21000000000000002</v>
      </c>
      <c r="F22" s="11">
        <f>AVERAGE(F18,F21)</f>
        <v>6.0000000000000005E-2</v>
      </c>
      <c r="H22" s="11">
        <f>AVERAGE(H18,H21)</f>
        <v>0.21000000000000002</v>
      </c>
      <c r="J22" s="11">
        <f>AVERAGE(J18,J21)</f>
        <v>0.23</v>
      </c>
    </row>
    <row r="24" spans="1:11" x14ac:dyDescent="0.25">
      <c r="B24" s="11">
        <f>B16/(B16+C16)</f>
        <v>0.52847739767426394</v>
      </c>
      <c r="C24" s="11">
        <f>100%-B24</f>
        <v>0.47152260232573606</v>
      </c>
      <c r="D24" s="11">
        <f>D16/(D16+E16)</f>
        <v>0.48748667314633637</v>
      </c>
      <c r="E24" s="11">
        <f>100%-D24</f>
        <v>0.51251332685366369</v>
      </c>
      <c r="F24" s="11">
        <f>F16/(F16+G16)</f>
        <v>0.52167277292513714</v>
      </c>
      <c r="G24" s="11">
        <f>G16/(G16+H16)</f>
        <v>0.24034195857246521</v>
      </c>
      <c r="H24" s="11">
        <f>100%-G24</f>
        <v>0.75965804142753479</v>
      </c>
      <c r="I24" s="11">
        <f>I16/(I16+J16)</f>
        <v>0.57040945546644151</v>
      </c>
      <c r="J24" s="11">
        <f>100%-I24</f>
        <v>0.42959054453355849</v>
      </c>
    </row>
    <row r="25" spans="1:11" x14ac:dyDescent="0.25">
      <c r="B25" s="10">
        <f>B19/(B19+C19)</f>
        <v>0.63684317305741533</v>
      </c>
      <c r="C25" s="11">
        <f>100%-B25</f>
        <v>0.36315682694258467</v>
      </c>
      <c r="D25" s="10">
        <f>D19/(D19+E19)</f>
        <v>0.50459250619623852</v>
      </c>
      <c r="E25" s="11">
        <f>100%-D25</f>
        <v>0.49540749380376148</v>
      </c>
      <c r="F25" s="10">
        <f>F19/(F19+G19)</f>
        <v>0.542960944595822</v>
      </c>
      <c r="G25" s="10">
        <f>G19/(G19+H19)</f>
        <v>0.23569086651053864</v>
      </c>
      <c r="H25" s="11">
        <f>100%-G25</f>
        <v>0.76430913348946139</v>
      </c>
      <c r="I25" s="10">
        <f>I19/(I19+J19)</f>
        <v>0.52925840092699883</v>
      </c>
      <c r="J25" s="11">
        <f>100%-I25</f>
        <v>0.47074159907300117</v>
      </c>
    </row>
    <row r="26" spans="1:11" x14ac:dyDescent="0.25">
      <c r="B26" s="12">
        <f>AVERAGE(B24:B25)</f>
        <v>0.58266028536583958</v>
      </c>
      <c r="C26" s="12">
        <f t="shared" ref="C26:J26" si="4">AVERAGE(C24:C25)</f>
        <v>0.41733971463416036</v>
      </c>
      <c r="D26" s="12">
        <f t="shared" si="4"/>
        <v>0.49603958967128747</v>
      </c>
      <c r="E26" s="12">
        <f t="shared" si="4"/>
        <v>0.50396041032871253</v>
      </c>
      <c r="F26" s="12">
        <v>1</v>
      </c>
      <c r="G26" s="12">
        <f t="shared" si="4"/>
        <v>0.23801641254150191</v>
      </c>
      <c r="H26" s="12">
        <f t="shared" si="4"/>
        <v>0.76198358745849815</v>
      </c>
      <c r="I26" s="12">
        <f t="shared" si="4"/>
        <v>0.54983392819672017</v>
      </c>
      <c r="J26" s="12">
        <f t="shared" si="4"/>
        <v>0.45016607180327983</v>
      </c>
    </row>
    <row r="27" spans="1:11" x14ac:dyDescent="0.25">
      <c r="B27" s="13"/>
      <c r="C27" s="14">
        <v>0.28999999999999998</v>
      </c>
      <c r="D27" s="13"/>
      <c r="E27" s="14">
        <v>0.21000000000000002</v>
      </c>
      <c r="F27" s="14">
        <v>7.0000000000000007E-2</v>
      </c>
      <c r="G27" s="13"/>
      <c r="H27" s="14">
        <v>0.21000000000000002</v>
      </c>
      <c r="I27" s="13"/>
      <c r="J27" s="14">
        <v>0.22</v>
      </c>
    </row>
    <row r="30" spans="1:11" x14ac:dyDescent="0.25">
      <c r="D30" s="1" t="s">
        <v>0</v>
      </c>
      <c r="E30" s="1" t="s">
        <v>103</v>
      </c>
      <c r="F30" s="1" t="s">
        <v>104</v>
      </c>
      <c r="G30" s="1" t="s">
        <v>105</v>
      </c>
    </row>
    <row r="31" spans="1:11" x14ac:dyDescent="0.25">
      <c r="B31" t="s">
        <v>119</v>
      </c>
      <c r="C31" s="11">
        <v>0.28999999999999998</v>
      </c>
      <c r="D31" s="15">
        <f>519721.53*C31</f>
        <v>150719.24369999999</v>
      </c>
      <c r="E31" s="9">
        <f>D31*0.58</f>
        <v>87417.161345999994</v>
      </c>
      <c r="F31" s="9">
        <f>D31-E31</f>
        <v>63302.082353999998</v>
      </c>
    </row>
    <row r="32" spans="1:11" x14ac:dyDescent="0.25">
      <c r="B32" t="s">
        <v>98</v>
      </c>
      <c r="C32" s="11">
        <v>0.21</v>
      </c>
      <c r="D32" s="15">
        <f t="shared" ref="D32:D35" si="5">519721.53*C32</f>
        <v>109141.52130000001</v>
      </c>
      <c r="E32" s="9">
        <f>D32*0.5</f>
        <v>54570.760650000004</v>
      </c>
      <c r="F32" s="9">
        <f t="shared" ref="F32:F35" si="6">D32-E32</f>
        <v>54570.760650000004</v>
      </c>
    </row>
    <row r="33" spans="2:7" x14ac:dyDescent="0.25">
      <c r="B33" t="s">
        <v>99</v>
      </c>
      <c r="C33" s="11">
        <v>7.0000000000000007E-2</v>
      </c>
      <c r="D33" s="15">
        <f t="shared" si="5"/>
        <v>36380.507100000003</v>
      </c>
      <c r="G33" s="9">
        <f>D33-E33</f>
        <v>36380.507100000003</v>
      </c>
    </row>
    <row r="34" spans="2:7" x14ac:dyDescent="0.25">
      <c r="B34" t="s">
        <v>100</v>
      </c>
      <c r="C34" s="11">
        <v>0.21</v>
      </c>
      <c r="D34" s="15">
        <f t="shared" si="5"/>
        <v>109141.52130000001</v>
      </c>
      <c r="E34" s="9">
        <f>D34*0.24</f>
        <v>26193.965112000002</v>
      </c>
      <c r="F34" s="9">
        <f t="shared" si="6"/>
        <v>82947.556188000002</v>
      </c>
    </row>
    <row r="35" spans="2:7" x14ac:dyDescent="0.25">
      <c r="B35" t="s">
        <v>101</v>
      </c>
      <c r="C35" s="11">
        <v>0.22</v>
      </c>
      <c r="D35" s="15">
        <f t="shared" si="5"/>
        <v>114338.7366</v>
      </c>
      <c r="E35" s="9">
        <f>D35*0.55</f>
        <v>62886.305130000008</v>
      </c>
      <c r="F35" s="9">
        <f t="shared" si="6"/>
        <v>51452.431469999996</v>
      </c>
    </row>
  </sheetData>
  <mergeCells count="5">
    <mergeCell ref="A1:A2"/>
    <mergeCell ref="B1:C1"/>
    <mergeCell ref="D1:E1"/>
    <mergeCell ref="G1:H1"/>
    <mergeCell ref="I1:J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FB98-AF0C-4235-9026-04C34E9BB394}">
  <dimension ref="A1:N23"/>
  <sheetViews>
    <sheetView workbookViewId="0">
      <selection activeCell="G10" sqref="G10"/>
    </sheetView>
  </sheetViews>
  <sheetFormatPr defaultRowHeight="15" x14ac:dyDescent="0.25"/>
  <cols>
    <col min="1" max="1" width="7.7109375" bestFit="1" customWidth="1"/>
    <col min="2" max="2" width="16" bestFit="1" customWidth="1"/>
    <col min="3" max="4" width="11.5703125" bestFit="1" customWidth="1"/>
    <col min="5" max="5" width="16" bestFit="1" customWidth="1"/>
    <col min="10" max="10" width="4.5703125" bestFit="1" customWidth="1"/>
    <col min="11" max="11" width="11.5703125" bestFit="1" customWidth="1"/>
    <col min="12" max="13" width="10.5703125" bestFit="1" customWidth="1"/>
    <col min="14" max="14" width="12" bestFit="1" customWidth="1"/>
  </cols>
  <sheetData>
    <row r="1" spans="1:14" ht="18.75" x14ac:dyDescent="0.3">
      <c r="A1" s="20">
        <v>2024</v>
      </c>
      <c r="B1" s="20" t="s">
        <v>0</v>
      </c>
      <c r="C1" s="20" t="s">
        <v>103</v>
      </c>
      <c r="D1" s="20" t="s">
        <v>104</v>
      </c>
      <c r="E1" s="20" t="s">
        <v>105</v>
      </c>
    </row>
    <row r="2" spans="1:14" x14ac:dyDescent="0.25">
      <c r="A2" s="4" t="s">
        <v>119</v>
      </c>
      <c r="B2" s="7">
        <v>150719.24369999999</v>
      </c>
      <c r="C2" s="7">
        <v>87417.161345999994</v>
      </c>
      <c r="D2" s="7">
        <v>63302.082353999998</v>
      </c>
      <c r="E2" s="4"/>
      <c r="I2">
        <v>174878.79</v>
      </c>
    </row>
    <row r="3" spans="1:14" x14ac:dyDescent="0.25">
      <c r="A3" s="4" t="s">
        <v>98</v>
      </c>
      <c r="B3" s="7">
        <v>109141.52130000001</v>
      </c>
      <c r="C3" s="7">
        <v>54570.760650000004</v>
      </c>
      <c r="D3" s="7">
        <v>54570.760650000004</v>
      </c>
      <c r="E3" s="4"/>
      <c r="I3">
        <v>344842.75</v>
      </c>
    </row>
    <row r="4" spans="1:14" ht="21" x14ac:dyDescent="0.35">
      <c r="A4" s="18" t="s">
        <v>99</v>
      </c>
      <c r="B4" s="19">
        <v>36380.507100000003</v>
      </c>
      <c r="C4" s="18"/>
      <c r="D4" s="18"/>
      <c r="E4" s="19">
        <v>36380.507100000003</v>
      </c>
    </row>
    <row r="5" spans="1:14" x14ac:dyDescent="0.25">
      <c r="A5" s="4" t="s">
        <v>100</v>
      </c>
      <c r="B5" s="7">
        <v>109141.52130000001</v>
      </c>
      <c r="C5" s="7">
        <v>26193.965112000002</v>
      </c>
      <c r="D5" s="7">
        <v>82947.556188000002</v>
      </c>
      <c r="E5" s="4"/>
    </row>
    <row r="6" spans="1:14" x14ac:dyDescent="0.25">
      <c r="A6" s="4" t="s">
        <v>101</v>
      </c>
      <c r="B6" s="7">
        <v>114338.7366</v>
      </c>
      <c r="C6" s="7">
        <v>62886.305130000008</v>
      </c>
      <c r="D6" s="7">
        <v>51452.431469999996</v>
      </c>
      <c r="E6" s="4"/>
    </row>
    <row r="7" spans="1:14" x14ac:dyDescent="0.25">
      <c r="A7" s="16" t="s">
        <v>102</v>
      </c>
      <c r="B7" s="17">
        <f>SUM(B2:B6)</f>
        <v>519721.53</v>
      </c>
      <c r="C7" s="17">
        <f t="shared" ref="C7:E7" si="0">SUM(C2:C6)</f>
        <v>231068.19223799999</v>
      </c>
      <c r="D7" s="17">
        <f t="shared" si="0"/>
        <v>252272.83066199999</v>
      </c>
      <c r="E7" s="17">
        <f t="shared" si="0"/>
        <v>36380.507100000003</v>
      </c>
    </row>
    <row r="9" spans="1:14" ht="18.75" x14ac:dyDescent="0.3">
      <c r="A9" s="20" t="s">
        <v>120</v>
      </c>
      <c r="B9" s="20" t="s">
        <v>0</v>
      </c>
      <c r="C9" s="20" t="s">
        <v>103</v>
      </c>
      <c r="D9" s="20" t="s">
        <v>104</v>
      </c>
      <c r="E9" s="20" t="s">
        <v>105</v>
      </c>
      <c r="K9" s="1" t="s">
        <v>0</v>
      </c>
      <c r="L9" s="1" t="s">
        <v>103</v>
      </c>
      <c r="M9" s="1" t="s">
        <v>104</v>
      </c>
      <c r="N9" s="1" t="s">
        <v>105</v>
      </c>
    </row>
    <row r="10" spans="1:14" x14ac:dyDescent="0.25">
      <c r="A10" s="4" t="s">
        <v>119</v>
      </c>
      <c r="B10" s="7">
        <v>50714.851999999992</v>
      </c>
      <c r="C10" s="7">
        <v>29414.614159999994</v>
      </c>
      <c r="D10" s="7">
        <v>21300.237839999998</v>
      </c>
      <c r="E10" s="4"/>
      <c r="I10" t="s">
        <v>119</v>
      </c>
      <c r="J10" s="11">
        <v>0.28999999999999998</v>
      </c>
      <c r="K10" s="15">
        <f>344842.8*J10</f>
        <v>100004.412</v>
      </c>
      <c r="L10" s="9">
        <f>K10*0.58</f>
        <v>58002.558959999995</v>
      </c>
      <c r="M10" s="9">
        <f>K10-L10</f>
        <v>42001.853040000002</v>
      </c>
    </row>
    <row r="11" spans="1:14" x14ac:dyDescent="0.25">
      <c r="A11" s="4" t="s">
        <v>98</v>
      </c>
      <c r="B11" s="7">
        <v>36724.547999999995</v>
      </c>
      <c r="C11" s="7">
        <v>18362.273999999998</v>
      </c>
      <c r="D11" s="7">
        <v>18362.273999999998</v>
      </c>
      <c r="E11" s="4"/>
      <c r="I11" t="s">
        <v>98</v>
      </c>
      <c r="J11" s="11">
        <v>0.21</v>
      </c>
      <c r="K11" s="15">
        <f t="shared" ref="K11:K14" si="1">344842.8*J11</f>
        <v>72416.987999999998</v>
      </c>
      <c r="L11" s="9">
        <f>K11*0.5</f>
        <v>36208.493999999999</v>
      </c>
      <c r="M11" s="9">
        <f t="shared" ref="M11:M14" si="2">K11-L11</f>
        <v>36208.493999999999</v>
      </c>
    </row>
    <row r="12" spans="1:14" ht="21" x14ac:dyDescent="0.35">
      <c r="A12" s="18" t="s">
        <v>99</v>
      </c>
      <c r="B12" s="19">
        <v>12241.516</v>
      </c>
      <c r="C12" s="18"/>
      <c r="D12" s="18"/>
      <c r="E12" s="19">
        <v>12241.516</v>
      </c>
      <c r="I12" t="s">
        <v>99</v>
      </c>
      <c r="J12" s="11">
        <v>7.0000000000000007E-2</v>
      </c>
      <c r="K12" s="15">
        <f t="shared" si="1"/>
        <v>24138.996000000003</v>
      </c>
      <c r="N12" s="9">
        <f>K12-L12</f>
        <v>24138.996000000003</v>
      </c>
    </row>
    <row r="13" spans="1:14" x14ac:dyDescent="0.25">
      <c r="A13" s="4" t="s">
        <v>100</v>
      </c>
      <c r="B13" s="7">
        <v>36724.547999999995</v>
      </c>
      <c r="C13" s="7">
        <v>8813.8915199999992</v>
      </c>
      <c r="D13" s="7">
        <v>27910.656479999998</v>
      </c>
      <c r="E13" s="4"/>
      <c r="I13" t="s">
        <v>100</v>
      </c>
      <c r="J13" s="11">
        <v>0.21</v>
      </c>
      <c r="K13" s="15">
        <f t="shared" si="1"/>
        <v>72416.987999999998</v>
      </c>
      <c r="L13" s="9">
        <f>K13*0.24</f>
        <v>17380.077119999998</v>
      </c>
      <c r="M13" s="9">
        <f t="shared" si="2"/>
        <v>55036.910879999996</v>
      </c>
    </row>
    <row r="14" spans="1:14" x14ac:dyDescent="0.25">
      <c r="A14" s="4" t="s">
        <v>101</v>
      </c>
      <c r="B14" s="7">
        <v>38473.335999999996</v>
      </c>
      <c r="C14" s="7">
        <v>21160.334800000001</v>
      </c>
      <c r="D14" s="7">
        <v>17313.001199999995</v>
      </c>
      <c r="E14" s="4"/>
      <c r="I14" t="s">
        <v>101</v>
      </c>
      <c r="J14" s="11">
        <v>0.22</v>
      </c>
      <c r="K14" s="15">
        <f t="shared" si="1"/>
        <v>75865.415999999997</v>
      </c>
      <c r="L14" s="9">
        <f>K14*0.55</f>
        <v>41725.978800000004</v>
      </c>
      <c r="M14" s="9">
        <f t="shared" si="2"/>
        <v>34139.437199999993</v>
      </c>
    </row>
    <row r="15" spans="1:14" x14ac:dyDescent="0.25">
      <c r="A15" s="16" t="s">
        <v>102</v>
      </c>
      <c r="B15" s="17">
        <f>SUM(B10:B14)</f>
        <v>174878.8</v>
      </c>
      <c r="C15" s="17">
        <f t="shared" ref="C15" si="3">SUM(C10:C14)</f>
        <v>77751.114479999989</v>
      </c>
      <c r="D15" s="17">
        <f t="shared" ref="D15" si="4">SUM(D10:D14)</f>
        <v>84886.169519999996</v>
      </c>
      <c r="E15" s="17">
        <f t="shared" ref="E15" si="5">SUM(E10:E14)</f>
        <v>12241.516</v>
      </c>
    </row>
    <row r="17" spans="1:5" ht="18.75" x14ac:dyDescent="0.3">
      <c r="A17" s="20" t="s">
        <v>121</v>
      </c>
      <c r="B17" s="20" t="s">
        <v>0</v>
      </c>
      <c r="C17" s="20" t="s">
        <v>103</v>
      </c>
      <c r="D17" s="20" t="s">
        <v>104</v>
      </c>
      <c r="E17" s="20" t="s">
        <v>105</v>
      </c>
    </row>
    <row r="18" spans="1:5" x14ac:dyDescent="0.25">
      <c r="A18" s="4" t="s">
        <v>119</v>
      </c>
      <c r="B18" s="7">
        <v>100004.412</v>
      </c>
      <c r="C18" s="7">
        <v>58002.558959999995</v>
      </c>
      <c r="D18" s="7">
        <v>42001.853040000002</v>
      </c>
      <c r="E18" s="4"/>
    </row>
    <row r="19" spans="1:5" x14ac:dyDescent="0.25">
      <c r="A19" s="4" t="s">
        <v>98</v>
      </c>
      <c r="B19" s="7">
        <v>72416.987999999998</v>
      </c>
      <c r="C19" s="7">
        <v>36208.493999999999</v>
      </c>
      <c r="D19" s="7">
        <v>36208.493999999999</v>
      </c>
      <c r="E19" s="4"/>
    </row>
    <row r="20" spans="1:5" ht="21" x14ac:dyDescent="0.35">
      <c r="A20" s="18" t="s">
        <v>99</v>
      </c>
      <c r="B20" s="19">
        <v>24138.996000000003</v>
      </c>
      <c r="C20" s="18"/>
      <c r="D20" s="18"/>
      <c r="E20" s="19">
        <v>24138.996000000003</v>
      </c>
    </row>
    <row r="21" spans="1:5" x14ac:dyDescent="0.25">
      <c r="A21" s="4" t="s">
        <v>100</v>
      </c>
      <c r="B21" s="7">
        <v>72416.987999999998</v>
      </c>
      <c r="C21" s="7">
        <v>17380.077119999998</v>
      </c>
      <c r="D21" s="7">
        <v>55036.910879999996</v>
      </c>
      <c r="E21" s="4"/>
    </row>
    <row r="22" spans="1:5" x14ac:dyDescent="0.25">
      <c r="A22" s="4" t="s">
        <v>101</v>
      </c>
      <c r="B22" s="7">
        <v>75865.415999999997</v>
      </c>
      <c r="C22" s="7">
        <v>41725.978800000004</v>
      </c>
      <c r="D22" s="7">
        <v>34139.437199999993</v>
      </c>
      <c r="E22" s="4"/>
    </row>
    <row r="23" spans="1:5" x14ac:dyDescent="0.25">
      <c r="A23" s="16" t="s">
        <v>102</v>
      </c>
      <c r="B23" s="17">
        <f>SUM(B18:B22)</f>
        <v>344842.80000000005</v>
      </c>
      <c r="C23" s="17">
        <f t="shared" ref="C23" si="6">SUM(C18:C22)</f>
        <v>153317.10888000001</v>
      </c>
      <c r="D23" s="17">
        <f t="shared" ref="D23" si="7">SUM(D18:D22)</f>
        <v>167386.69511999999</v>
      </c>
      <c r="E23" s="17">
        <f t="shared" ref="E23" si="8">SUM(E18:E22)</f>
        <v>24138.996000000003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Zip Code</vt:lpstr>
      <vt:lpstr>Sheet1 (2)</vt:lpstr>
      <vt:lpstr>Sheet1</vt:lpstr>
      <vt:lpstr>Sheet2</vt:lpstr>
      <vt:lpstr>Sheet3</vt:lpstr>
      <vt:lpstr>'Zip Code'!_FilterDatabase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</dc:creator>
  <cp:lastModifiedBy>Jun</cp:lastModifiedBy>
  <dcterms:created xsi:type="dcterms:W3CDTF">2022-01-24T03:33:07Z</dcterms:created>
  <dcterms:modified xsi:type="dcterms:W3CDTF">2023-11-24T06:54:20Z</dcterms:modified>
</cp:coreProperties>
</file>