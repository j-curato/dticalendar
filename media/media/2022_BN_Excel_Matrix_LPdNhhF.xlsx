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un\Desktop\2022\BN\"/>
    </mc:Choice>
  </mc:AlternateContent>
  <bookViews>
    <workbookView xWindow="0" yWindow="0" windowWidth="24000" windowHeight="9735"/>
  </bookViews>
  <sheets>
    <sheet name="Sheet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 i="1" l="1"/>
  <c r="H8" i="1"/>
  <c r="I8" i="1"/>
  <c r="J8" i="1"/>
  <c r="K8" i="1"/>
  <c r="L8" i="1"/>
  <c r="M8" i="1"/>
  <c r="N8" i="1"/>
  <c r="O8" i="1"/>
  <c r="P8" i="1"/>
  <c r="Q8" i="1"/>
  <c r="R8" i="1"/>
  <c r="C8" i="1"/>
  <c r="D8" i="1"/>
  <c r="E8" i="1"/>
  <c r="F8" i="1"/>
  <c r="B8" i="1"/>
  <c r="H28" i="1" l="1"/>
  <c r="G28" i="1"/>
  <c r="I27" i="1"/>
  <c r="I26" i="1"/>
  <c r="I25" i="1"/>
  <c r="I24" i="1"/>
  <c r="I23" i="1"/>
  <c r="I28" i="1" s="1"/>
  <c r="C28" i="1"/>
  <c r="D28" i="1"/>
  <c r="B28" i="1"/>
  <c r="C38" i="1" l="1"/>
  <c r="B38" i="1"/>
  <c r="D34" i="1"/>
  <c r="D35" i="1"/>
  <c r="D36" i="1"/>
  <c r="D37" i="1"/>
  <c r="D33" i="1"/>
  <c r="D38" i="1" s="1"/>
  <c r="D24" i="1"/>
  <c r="D25" i="1"/>
  <c r="D26" i="1"/>
  <c r="D27" i="1"/>
  <c r="D23" i="1"/>
  <c r="F17" i="1" l="1"/>
  <c r="F16" i="1"/>
  <c r="F15" i="1"/>
  <c r="F14" i="1"/>
  <c r="F13" i="1"/>
  <c r="F4" i="1"/>
  <c r="F5" i="1"/>
  <c r="F6" i="1"/>
  <c r="F7" i="1"/>
  <c r="F3" i="1"/>
</calcChain>
</file>

<file path=xl/sharedStrings.xml><?xml version="1.0" encoding="utf-8"?>
<sst xmlns="http://schemas.openxmlformats.org/spreadsheetml/2006/main" count="134" uniqueCount="61">
  <si>
    <t>SDS</t>
  </si>
  <si>
    <t>SDN</t>
  </si>
  <si>
    <t>AND</t>
  </si>
  <si>
    <t>ADS</t>
  </si>
  <si>
    <t>PDI</t>
  </si>
  <si>
    <t>Jan-june</t>
  </si>
  <si>
    <t>July</t>
  </si>
  <si>
    <t>July-sept</t>
  </si>
  <si>
    <t>October</t>
  </si>
  <si>
    <t>Nov-dec</t>
  </si>
  <si>
    <t>Total</t>
  </si>
  <si>
    <t>2022 New and Renewal</t>
  </si>
  <si>
    <t>Province</t>
  </si>
  <si>
    <t>2022 New</t>
  </si>
  <si>
    <t>January</t>
  </si>
  <si>
    <t>February</t>
  </si>
  <si>
    <t>March</t>
  </si>
  <si>
    <t>April</t>
  </si>
  <si>
    <t>May</t>
  </si>
  <si>
    <t>June</t>
  </si>
  <si>
    <t>August</t>
  </si>
  <si>
    <t>September</t>
  </si>
  <si>
    <t>November</t>
  </si>
  <si>
    <t>December</t>
  </si>
  <si>
    <t>A DN</t>
  </si>
  <si>
    <t>Male</t>
  </si>
  <si>
    <t>Female</t>
  </si>
  <si>
    <t>By Employee - New Reg</t>
  </si>
  <si>
    <t>RETAIL SELLING IN SARI-SARI STORES</t>
  </si>
  <si>
    <t>OTHER RESTAURANTS AND MOBILE FOOD SERVICE ACTIVITIES, N.E.C.</t>
  </si>
  <si>
    <t>RETAIL SELLING IN DEPARTMENT STORES</t>
  </si>
  <si>
    <t>RETAIL SALE OF FISH AND OTHER SEAFOODS (FRESH AND DRIED)</t>
  </si>
  <si>
    <t>REAL ESTATE BUYING, SELLING, RENTING, LEASING AND OPERATING OF SELF-OWNED/LEASED APARTMENT BUILDINGS, NON-RESIDENTIAL AND DWELLINGS</t>
  </si>
  <si>
    <t>RETAIL SALE OF FRUITS AND VEGETABLES</t>
  </si>
  <si>
    <t>RETAIL SALE OF BAKERY PRODUCTS</t>
  </si>
  <si>
    <t>RETAIL SALE VIA INTERNET</t>
  </si>
  <si>
    <t>RETAIL SALE OF MEAT AND POULTRY PRODUCTS</t>
  </si>
  <si>
    <t>RETAIL SALE OF FOOD PRODUCTS. N.E.C</t>
  </si>
  <si>
    <t>MANUFACTURE OF FOODS PRODUCTS, N.E.C</t>
  </si>
  <si>
    <t>RESTAURANTS</t>
  </si>
  <si>
    <t>RETAIL SALE OF HARDWARE MATERIALS</t>
  </si>
  <si>
    <t>RETAIL SALE OF WATER (INCLUDING DISTRIBUTION)</t>
  </si>
  <si>
    <t>RETAIL SALE OF WEARING APPAREL, EXCEPT FOOTWEAR</t>
  </si>
  <si>
    <t>PSIC</t>
  </si>
  <si>
    <t>BN by PSIC - New Reg</t>
  </si>
  <si>
    <t>Payment Methods</t>
  </si>
  <si>
    <t>GCASH</t>
  </si>
  <si>
    <t>DTITELLER</t>
  </si>
  <si>
    <t>PAYMAYA</t>
  </si>
  <si>
    <t>CREDITCARD</t>
  </si>
  <si>
    <t>LANDBANK</t>
  </si>
  <si>
    <t>Payment Methods - New Reg</t>
  </si>
  <si>
    <t>NON-RESIDENTIAL BUILDING CONSTRUCTIONS</t>
  </si>
  <si>
    <t>ACTIVITIES OF OTHER TRANSPORT AGENCIES, N.E.C</t>
  </si>
  <si>
    <t>PRIVATE SECURITY ACTIVITIES, INCLUDES PROVISION OF GUARD AND PATROL SERVICES, PICKING UP AND DELIVERY OF MONEY, RECEIPTS, OR OTHER VALUABLE ITEMS WITH PERSONNEL AND EQUIPMENT TO PROTECT SUCH PROPERTIES WHILE IN TRANSIT. ARMORED CAR SERVICES BODYGUARD SERVICES POLYGRAPH SERVICES FINGERPRINTING SERVICES SECURITY GUARD SERVICES.</t>
  </si>
  <si>
    <t>COASTAL FISHING, MUNICIPAL (USING VESSELS OF LESS THAN 3 TONS)</t>
  </si>
  <si>
    <t>PSIC by Number of Male Employees</t>
  </si>
  <si>
    <t>PSIC by Number of Female Employees</t>
  </si>
  <si>
    <t>BEAUTY PARLOR ACTIVITIES</t>
  </si>
  <si>
    <t>By Sex - New Reg (2022)</t>
  </si>
  <si>
    <t>By Sex - New Reg (2021)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</si>
</sst>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1" fillId="0" borderId="0" xfId="0" applyFont="1"/>
    <xf numFmtId="0" fontId="1" fillId="0" borderId="1" xfId="0" applyFont="1" applyBorder="1"/>
    <xf numFmtId="0" fontId="0" fillId="0" borderId="1" xfId="0" applyBorder="1"/>
    <xf numFmtId="0" fontId="0" fillId="0" borderId="0" xfId="0" applyFill="1" applyBorder="1"/>
    <xf numFmtId="49" fontId="0" fillId="0" borderId="1" xfId="0" applyNumberFormat="1" applyBorder="1"/>
    <xf numFmtId="0" fontId="1" fillId="0" borderId="1" xfId="0" applyFont="1" applyFill="1" applyBorder="1"/>
    <xf numFmtId="0" fontId="0" fillId="0" borderId="1" xfId="0" applyBorder="1" applyAlignment="1">
      <alignment horizontal="left" wrapText="1"/>
    </xf>
    <xf numFmtId="0" fontId="0" fillId="0" borderId="1" xfId="0" applyNumberFormat="1" applyBorder="1"/>
    <xf numFmtId="0" fontId="0" fillId="0" borderId="1" xfId="0" applyBorder="1" applyAlignment="1">
      <alignment horizontal="left"/>
    </xf>
    <xf numFmtId="0" fontId="1" fillId="0" borderId="0" xfId="0" applyFont="1" applyFill="1" applyBorder="1" applyAlignment="1">
      <alignment horizontal="left" wrapText="1"/>
    </xf>
    <xf numFmtId="0" fontId="0" fillId="0" borderId="1" xfId="0" applyFill="1" applyBorder="1"/>
    <xf numFmtId="0" fontId="1" fillId="0" borderId="0" xfId="0" applyFont="1" applyFill="1" applyBorder="1" applyAlignment="1">
      <alignment horizontal="left"/>
    </xf>
    <xf numFmtId="0" fontId="0" fillId="0" borderId="2" xfId="0" applyFill="1" applyBorder="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7"/>
  <sheetViews>
    <sheetView tabSelected="1" workbookViewId="0">
      <selection activeCell="O13" sqref="O13"/>
    </sheetView>
  </sheetViews>
  <sheetFormatPr defaultRowHeight="15" x14ac:dyDescent="0.25"/>
  <cols>
    <col min="1" max="1" width="60" customWidth="1"/>
    <col min="2" max="2" width="9.140625" customWidth="1"/>
    <col min="15" max="15" width="10.7109375" customWidth="1"/>
    <col min="18" max="18" width="11.42578125" customWidth="1"/>
  </cols>
  <sheetData>
    <row r="1" spans="1:18" x14ac:dyDescent="0.25">
      <c r="A1" s="1" t="s">
        <v>11</v>
      </c>
    </row>
    <row r="2" spans="1:18" x14ac:dyDescent="0.25">
      <c r="A2" s="2" t="s">
        <v>12</v>
      </c>
      <c r="B2" s="2" t="s">
        <v>5</v>
      </c>
      <c r="C2" s="2" t="s">
        <v>7</v>
      </c>
      <c r="D2" s="2" t="s">
        <v>8</v>
      </c>
      <c r="E2" s="2" t="s">
        <v>9</v>
      </c>
      <c r="F2" s="2" t="s">
        <v>10</v>
      </c>
      <c r="G2" s="6" t="s">
        <v>14</v>
      </c>
      <c r="H2" s="6" t="s">
        <v>15</v>
      </c>
      <c r="I2" s="6" t="s">
        <v>16</v>
      </c>
      <c r="J2" s="6" t="s">
        <v>17</v>
      </c>
      <c r="K2" s="6" t="s">
        <v>18</v>
      </c>
      <c r="L2" s="6" t="s">
        <v>19</v>
      </c>
      <c r="M2" s="6" t="s">
        <v>6</v>
      </c>
      <c r="N2" s="6" t="s">
        <v>20</v>
      </c>
      <c r="O2" s="6" t="s">
        <v>21</v>
      </c>
      <c r="P2" s="6" t="s">
        <v>8</v>
      </c>
      <c r="Q2" s="6" t="s">
        <v>22</v>
      </c>
      <c r="R2" s="6" t="s">
        <v>23</v>
      </c>
    </row>
    <row r="3" spans="1:18" x14ac:dyDescent="0.25">
      <c r="A3" s="3" t="s">
        <v>0</v>
      </c>
      <c r="B3" s="3">
        <v>5368</v>
      </c>
      <c r="C3" s="3">
        <v>1073</v>
      </c>
      <c r="D3" s="3">
        <v>275</v>
      </c>
      <c r="E3" s="3">
        <v>307</v>
      </c>
      <c r="F3" s="3">
        <f>SUM(B3:E3)</f>
        <v>7023</v>
      </c>
      <c r="G3" s="11">
        <v>2301</v>
      </c>
      <c r="H3" s="11">
        <v>838</v>
      </c>
      <c r="I3" s="11">
        <v>975</v>
      </c>
      <c r="J3" s="11">
        <v>308</v>
      </c>
      <c r="K3" s="11">
        <v>364</v>
      </c>
      <c r="L3" s="11">
        <v>582</v>
      </c>
      <c r="M3" s="11">
        <v>349</v>
      </c>
      <c r="N3" s="11">
        <v>435</v>
      </c>
      <c r="O3" s="11">
        <v>289</v>
      </c>
      <c r="P3" s="11">
        <v>275</v>
      </c>
      <c r="Q3" s="11">
        <v>192</v>
      </c>
      <c r="R3" s="11">
        <v>115</v>
      </c>
    </row>
    <row r="4" spans="1:18" x14ac:dyDescent="0.25">
      <c r="A4" s="3" t="s">
        <v>1</v>
      </c>
      <c r="B4" s="3">
        <v>4341</v>
      </c>
      <c r="C4" s="3">
        <v>1526</v>
      </c>
      <c r="D4" s="3">
        <v>242</v>
      </c>
      <c r="E4" s="3">
        <v>304</v>
      </c>
      <c r="F4" s="3">
        <f t="shared" ref="F4:F7" si="0">SUM(B4:E4)</f>
        <v>6413</v>
      </c>
      <c r="G4" s="11">
        <v>639</v>
      </c>
      <c r="H4" s="3">
        <v>1214</v>
      </c>
      <c r="I4" s="3">
        <v>759</v>
      </c>
      <c r="J4" s="3">
        <v>518</v>
      </c>
      <c r="K4" s="3">
        <v>551</v>
      </c>
      <c r="L4" s="3">
        <v>660</v>
      </c>
      <c r="M4" s="3">
        <v>597</v>
      </c>
      <c r="N4" s="3">
        <v>529</v>
      </c>
      <c r="O4" s="3">
        <v>400</v>
      </c>
      <c r="P4" s="3">
        <v>242</v>
      </c>
      <c r="Q4" s="3">
        <v>181</v>
      </c>
      <c r="R4" s="3">
        <v>123</v>
      </c>
    </row>
    <row r="5" spans="1:18" x14ac:dyDescent="0.25">
      <c r="A5" s="3" t="s">
        <v>2</v>
      </c>
      <c r="B5" s="3">
        <v>4057</v>
      </c>
      <c r="C5" s="3">
        <v>1404</v>
      </c>
      <c r="D5" s="3">
        <v>412</v>
      </c>
      <c r="E5" s="3">
        <v>515</v>
      </c>
      <c r="F5" s="3">
        <f t="shared" si="0"/>
        <v>6388</v>
      </c>
      <c r="G5" s="11">
        <v>1133</v>
      </c>
      <c r="H5" s="11">
        <v>754</v>
      </c>
      <c r="I5" s="11">
        <v>736</v>
      </c>
      <c r="J5" s="11">
        <v>369</v>
      </c>
      <c r="K5" s="11">
        <v>473</v>
      </c>
      <c r="L5" s="11">
        <v>592</v>
      </c>
      <c r="M5" s="11">
        <v>442</v>
      </c>
      <c r="N5" s="11">
        <v>477</v>
      </c>
      <c r="O5" s="11">
        <v>485</v>
      </c>
      <c r="P5" s="11">
        <v>412</v>
      </c>
      <c r="Q5" s="11">
        <v>316</v>
      </c>
      <c r="R5" s="11">
        <v>199</v>
      </c>
    </row>
    <row r="6" spans="1:18" x14ac:dyDescent="0.25">
      <c r="A6" s="3" t="s">
        <v>3</v>
      </c>
      <c r="B6" s="3">
        <v>3428</v>
      </c>
      <c r="C6" s="3">
        <v>1053</v>
      </c>
      <c r="D6" s="3">
        <v>260</v>
      </c>
      <c r="E6" s="3">
        <v>230</v>
      </c>
      <c r="F6" s="3">
        <f t="shared" si="0"/>
        <v>4971</v>
      </c>
      <c r="G6" s="11">
        <v>1665</v>
      </c>
      <c r="H6" s="11">
        <v>430</v>
      </c>
      <c r="I6" s="11">
        <v>385</v>
      </c>
      <c r="J6" s="11">
        <v>309</v>
      </c>
      <c r="K6" s="11">
        <v>284</v>
      </c>
      <c r="L6" s="11">
        <v>355</v>
      </c>
      <c r="M6" s="11">
        <v>372</v>
      </c>
      <c r="N6" s="11">
        <v>407</v>
      </c>
      <c r="O6" s="11">
        <v>274</v>
      </c>
      <c r="P6" s="11">
        <v>260</v>
      </c>
      <c r="Q6" s="11">
        <v>144</v>
      </c>
      <c r="R6" s="11">
        <v>86</v>
      </c>
    </row>
    <row r="7" spans="1:18" x14ac:dyDescent="0.25">
      <c r="A7" s="3" t="s">
        <v>4</v>
      </c>
      <c r="B7" s="3">
        <v>1530</v>
      </c>
      <c r="C7" s="3">
        <v>334</v>
      </c>
      <c r="D7" s="3">
        <v>30</v>
      </c>
      <c r="E7" s="3">
        <v>40</v>
      </c>
      <c r="F7" s="3">
        <f t="shared" si="0"/>
        <v>1934</v>
      </c>
      <c r="G7" s="11">
        <v>8</v>
      </c>
      <c r="H7" s="11">
        <v>65</v>
      </c>
      <c r="I7" s="11">
        <v>266</v>
      </c>
      <c r="J7" s="11">
        <v>444</v>
      </c>
      <c r="K7" s="11">
        <v>265</v>
      </c>
      <c r="L7" s="11">
        <v>482</v>
      </c>
      <c r="M7" s="11">
        <v>216</v>
      </c>
      <c r="N7" s="11">
        <v>76</v>
      </c>
      <c r="O7" s="11">
        <v>42</v>
      </c>
      <c r="P7" s="11">
        <v>30</v>
      </c>
      <c r="Q7" s="11">
        <v>26</v>
      </c>
      <c r="R7" s="11">
        <v>14</v>
      </c>
    </row>
    <row r="8" spans="1:18" x14ac:dyDescent="0.25">
      <c r="A8" s="13" t="s">
        <v>10</v>
      </c>
      <c r="B8" s="14">
        <f>SUM(B3:B7)</f>
        <v>18724</v>
      </c>
      <c r="C8" s="14">
        <f t="shared" ref="C8:F8" si="1">SUM(C3:C7)</f>
        <v>5390</v>
      </c>
      <c r="D8" s="14">
        <f t="shared" si="1"/>
        <v>1219</v>
      </c>
      <c r="E8" s="14">
        <f t="shared" si="1"/>
        <v>1396</v>
      </c>
      <c r="F8" s="14">
        <f t="shared" si="1"/>
        <v>26729</v>
      </c>
      <c r="G8" s="1">
        <f t="shared" ref="G8" si="2">SUM(G3:G7)</f>
        <v>5746</v>
      </c>
      <c r="H8" s="1">
        <f t="shared" ref="H8" si="3">SUM(H3:H7)</f>
        <v>3301</v>
      </c>
      <c r="I8" s="1">
        <f t="shared" ref="I8" si="4">SUM(I3:I7)</f>
        <v>3121</v>
      </c>
      <c r="J8" s="1">
        <f t="shared" ref="J8" si="5">SUM(J3:J7)</f>
        <v>1948</v>
      </c>
      <c r="K8" s="1">
        <f t="shared" ref="K8" si="6">SUM(K3:K7)</f>
        <v>1937</v>
      </c>
      <c r="L8" s="1">
        <f t="shared" ref="L8" si="7">SUM(L3:L7)</f>
        <v>2671</v>
      </c>
      <c r="M8" s="1">
        <f t="shared" ref="M8" si="8">SUM(M3:M7)</f>
        <v>1976</v>
      </c>
      <c r="N8" s="1">
        <f t="shared" ref="N8" si="9">SUM(N3:N7)</f>
        <v>1924</v>
      </c>
      <c r="O8" s="1">
        <f t="shared" ref="O8" si="10">SUM(O3:O7)</f>
        <v>1490</v>
      </c>
      <c r="P8" s="1">
        <f t="shared" ref="P8" si="11">SUM(P3:P7)</f>
        <v>1219</v>
      </c>
      <c r="Q8" s="1">
        <f t="shared" ref="Q8" si="12">SUM(Q3:Q7)</f>
        <v>859</v>
      </c>
      <c r="R8" s="1">
        <f t="shared" ref="R8" si="13">SUM(R3:R7)</f>
        <v>537</v>
      </c>
    </row>
    <row r="10" spans="1:18" x14ac:dyDescent="0.25">
      <c r="A10" s="1" t="s">
        <v>13</v>
      </c>
    </row>
    <row r="12" spans="1:18" x14ac:dyDescent="0.25">
      <c r="A12" s="2" t="s">
        <v>12</v>
      </c>
      <c r="B12" s="2" t="s">
        <v>5</v>
      </c>
      <c r="C12" s="2" t="s">
        <v>7</v>
      </c>
      <c r="D12" s="2" t="s">
        <v>8</v>
      </c>
      <c r="E12" s="2" t="s">
        <v>9</v>
      </c>
      <c r="F12" s="2" t="s">
        <v>10</v>
      </c>
      <c r="G12" s="6" t="s">
        <v>14</v>
      </c>
      <c r="H12" s="6" t="s">
        <v>15</v>
      </c>
      <c r="I12" s="6" t="s">
        <v>16</v>
      </c>
      <c r="J12" s="6" t="s">
        <v>17</v>
      </c>
      <c r="K12" s="6" t="s">
        <v>18</v>
      </c>
      <c r="L12" s="6" t="s">
        <v>19</v>
      </c>
      <c r="M12" s="6" t="s">
        <v>6</v>
      </c>
      <c r="N12" s="6" t="s">
        <v>20</v>
      </c>
      <c r="O12" s="6" t="s">
        <v>21</v>
      </c>
      <c r="P12" s="6" t="s">
        <v>8</v>
      </c>
      <c r="Q12" s="6" t="s">
        <v>22</v>
      </c>
      <c r="R12" s="6" t="s">
        <v>23</v>
      </c>
    </row>
    <row r="13" spans="1:18" x14ac:dyDescent="0.25">
      <c r="A13" s="3" t="s">
        <v>0</v>
      </c>
      <c r="B13" s="3">
        <v>5105</v>
      </c>
      <c r="C13" s="3">
        <v>1024</v>
      </c>
      <c r="D13" s="3">
        <v>230</v>
      </c>
      <c r="E13" s="3">
        <v>273</v>
      </c>
      <c r="F13" s="3">
        <f>SUM(B13:E13)</f>
        <v>6632</v>
      </c>
      <c r="G13" s="11">
        <v>2195</v>
      </c>
      <c r="H13" s="11">
        <v>800</v>
      </c>
      <c r="I13" s="11">
        <v>922</v>
      </c>
      <c r="J13" s="11">
        <v>286</v>
      </c>
      <c r="K13" s="11">
        <v>343</v>
      </c>
      <c r="L13" s="11">
        <v>559</v>
      </c>
      <c r="M13" s="11">
        <v>327</v>
      </c>
      <c r="N13" s="11">
        <v>418</v>
      </c>
      <c r="O13" s="11">
        <v>279</v>
      </c>
      <c r="P13" s="11">
        <v>230</v>
      </c>
      <c r="Q13" s="11">
        <v>177</v>
      </c>
      <c r="R13" s="11">
        <v>96</v>
      </c>
    </row>
    <row r="14" spans="1:18" x14ac:dyDescent="0.25">
      <c r="A14" s="3" t="s">
        <v>1</v>
      </c>
      <c r="B14" s="3">
        <v>4128</v>
      </c>
      <c r="C14" s="3">
        <v>1453</v>
      </c>
      <c r="D14" s="3">
        <v>231</v>
      </c>
      <c r="E14" s="3">
        <v>275</v>
      </c>
      <c r="F14" s="3">
        <f t="shared" ref="F14:F17" si="14">SUM(B14:E14)</f>
        <v>6087</v>
      </c>
      <c r="G14" s="11">
        <v>596</v>
      </c>
      <c r="H14" s="11">
        <v>1160</v>
      </c>
      <c r="I14" s="11">
        <v>713</v>
      </c>
      <c r="J14" s="11">
        <v>501</v>
      </c>
      <c r="K14" s="11">
        <v>530</v>
      </c>
      <c r="L14" s="11">
        <v>628</v>
      </c>
      <c r="M14" s="11">
        <v>569</v>
      </c>
      <c r="N14" s="11">
        <v>502</v>
      </c>
      <c r="O14" s="11">
        <v>382</v>
      </c>
      <c r="P14" s="11">
        <v>231</v>
      </c>
      <c r="Q14" s="11">
        <v>159</v>
      </c>
      <c r="R14" s="11">
        <v>116</v>
      </c>
    </row>
    <row r="15" spans="1:18" x14ac:dyDescent="0.25">
      <c r="A15" s="3" t="s">
        <v>2</v>
      </c>
      <c r="B15" s="3">
        <v>3691</v>
      </c>
      <c r="C15" s="3">
        <v>1276</v>
      </c>
      <c r="D15" s="3">
        <v>384</v>
      </c>
      <c r="E15" s="3">
        <v>466</v>
      </c>
      <c r="F15" s="3">
        <f t="shared" si="14"/>
        <v>5817</v>
      </c>
      <c r="G15" s="11">
        <v>989</v>
      </c>
      <c r="H15" s="11">
        <v>694</v>
      </c>
      <c r="I15" s="11">
        <v>684</v>
      </c>
      <c r="J15" s="11">
        <v>338</v>
      </c>
      <c r="K15" s="11">
        <v>441</v>
      </c>
      <c r="L15" s="11">
        <v>545</v>
      </c>
      <c r="M15" s="11">
        <v>393</v>
      </c>
      <c r="N15" s="11">
        <v>443</v>
      </c>
      <c r="O15" s="11">
        <v>440</v>
      </c>
      <c r="P15" s="11">
        <v>384</v>
      </c>
      <c r="Q15" s="11">
        <v>293</v>
      </c>
      <c r="R15" s="11">
        <v>173</v>
      </c>
    </row>
    <row r="16" spans="1:18" x14ac:dyDescent="0.25">
      <c r="A16" s="3" t="s">
        <v>3</v>
      </c>
      <c r="B16" s="3">
        <v>3149</v>
      </c>
      <c r="C16" s="3">
        <v>981</v>
      </c>
      <c r="D16" s="3">
        <v>247</v>
      </c>
      <c r="E16" s="3">
        <v>205</v>
      </c>
      <c r="F16" s="3">
        <f t="shared" si="14"/>
        <v>4582</v>
      </c>
      <c r="G16" s="11">
        <v>1510</v>
      </c>
      <c r="H16" s="11">
        <v>393</v>
      </c>
      <c r="I16" s="11">
        <v>359</v>
      </c>
      <c r="J16" s="11">
        <v>280</v>
      </c>
      <c r="K16" s="11">
        <v>269</v>
      </c>
      <c r="L16" s="11">
        <v>338</v>
      </c>
      <c r="M16" s="11">
        <v>343</v>
      </c>
      <c r="N16" s="11">
        <v>389</v>
      </c>
      <c r="O16" s="11">
        <v>249</v>
      </c>
      <c r="P16" s="11">
        <v>247</v>
      </c>
      <c r="Q16" s="11">
        <v>128</v>
      </c>
      <c r="R16" s="11">
        <v>77</v>
      </c>
    </row>
    <row r="17" spans="1:18" x14ac:dyDescent="0.25">
      <c r="A17" s="3" t="s">
        <v>4</v>
      </c>
      <c r="B17" s="3">
        <v>1362</v>
      </c>
      <c r="C17" s="3">
        <v>306</v>
      </c>
      <c r="D17" s="3">
        <v>30</v>
      </c>
      <c r="E17" s="3">
        <v>37</v>
      </c>
      <c r="F17" s="3">
        <f t="shared" si="14"/>
        <v>1735</v>
      </c>
      <c r="G17" s="11">
        <v>6</v>
      </c>
      <c r="H17" s="11">
        <v>59</v>
      </c>
      <c r="I17" s="11">
        <v>243</v>
      </c>
      <c r="J17" s="11">
        <v>344</v>
      </c>
      <c r="K17" s="11">
        <v>253</v>
      </c>
      <c r="L17" s="11">
        <v>457</v>
      </c>
      <c r="M17" s="11">
        <v>193</v>
      </c>
      <c r="N17" s="11">
        <v>73</v>
      </c>
      <c r="O17" s="11">
        <v>40</v>
      </c>
      <c r="P17" s="11">
        <v>30</v>
      </c>
      <c r="Q17" s="11">
        <v>23</v>
      </c>
      <c r="R17" s="11">
        <v>14</v>
      </c>
    </row>
    <row r="20" spans="1:18" x14ac:dyDescent="0.25">
      <c r="A20" s="1" t="s">
        <v>59</v>
      </c>
      <c r="F20" s="1" t="s">
        <v>60</v>
      </c>
    </row>
    <row r="22" spans="1:18" x14ac:dyDescent="0.25">
      <c r="A22" s="2" t="s">
        <v>12</v>
      </c>
      <c r="B22" s="2" t="s">
        <v>25</v>
      </c>
      <c r="C22" s="2" t="s">
        <v>26</v>
      </c>
      <c r="D22" s="6" t="s">
        <v>10</v>
      </c>
      <c r="F22" s="2" t="s">
        <v>12</v>
      </c>
      <c r="G22" s="2" t="s">
        <v>25</v>
      </c>
      <c r="H22" s="2" t="s">
        <v>26</v>
      </c>
      <c r="I22" s="6" t="s">
        <v>10</v>
      </c>
    </row>
    <row r="23" spans="1:18" x14ac:dyDescent="0.25">
      <c r="A23" s="3" t="s">
        <v>0</v>
      </c>
      <c r="B23" s="3">
        <v>2204</v>
      </c>
      <c r="C23" s="3">
        <v>4426</v>
      </c>
      <c r="D23" s="3">
        <f>SUM(B23:C23)</f>
        <v>6630</v>
      </c>
      <c r="F23" s="3" t="s">
        <v>0</v>
      </c>
      <c r="G23" s="3">
        <v>2204</v>
      </c>
      <c r="H23" s="3">
        <v>4426</v>
      </c>
      <c r="I23" s="3">
        <f>SUM(G23:H23)</f>
        <v>6630</v>
      </c>
    </row>
    <row r="24" spans="1:18" x14ac:dyDescent="0.25">
      <c r="A24" s="3" t="s">
        <v>1</v>
      </c>
      <c r="B24" s="3">
        <v>1744</v>
      </c>
      <c r="C24" s="3">
        <v>4343</v>
      </c>
      <c r="D24" s="3">
        <f t="shared" ref="D24:D27" si="15">SUM(B24:C24)</f>
        <v>6087</v>
      </c>
      <c r="F24" s="3" t="s">
        <v>1</v>
      </c>
      <c r="G24" s="3">
        <v>1744</v>
      </c>
      <c r="H24" s="3">
        <v>4343</v>
      </c>
      <c r="I24" s="3">
        <f t="shared" ref="I24:I27" si="16">SUM(G24:H24)</f>
        <v>6087</v>
      </c>
    </row>
    <row r="25" spans="1:18" x14ac:dyDescent="0.25">
      <c r="A25" s="5" t="s">
        <v>24</v>
      </c>
      <c r="B25" s="3">
        <v>2227</v>
      </c>
      <c r="C25" s="3">
        <v>3590</v>
      </c>
      <c r="D25" s="3">
        <f t="shared" si="15"/>
        <v>5817</v>
      </c>
      <c r="F25" s="5" t="s">
        <v>24</v>
      </c>
      <c r="G25" s="3">
        <v>2227</v>
      </c>
      <c r="H25" s="3">
        <v>3590</v>
      </c>
      <c r="I25" s="3">
        <f t="shared" si="16"/>
        <v>5817</v>
      </c>
    </row>
    <row r="26" spans="1:18" x14ac:dyDescent="0.25">
      <c r="A26" s="3" t="s">
        <v>3</v>
      </c>
      <c r="B26" s="3">
        <v>1528</v>
      </c>
      <c r="C26" s="3">
        <v>3054</v>
      </c>
      <c r="D26" s="3">
        <f t="shared" si="15"/>
        <v>4582</v>
      </c>
      <c r="F26" s="3" t="s">
        <v>3</v>
      </c>
      <c r="G26" s="3">
        <v>1528</v>
      </c>
      <c r="H26" s="3">
        <v>3054</v>
      </c>
      <c r="I26" s="3">
        <f t="shared" si="16"/>
        <v>4582</v>
      </c>
    </row>
    <row r="27" spans="1:18" x14ac:dyDescent="0.25">
      <c r="A27" s="3" t="s">
        <v>4</v>
      </c>
      <c r="B27" s="3">
        <v>466</v>
      </c>
      <c r="C27" s="3">
        <v>1269</v>
      </c>
      <c r="D27" s="3">
        <f t="shared" si="15"/>
        <v>1735</v>
      </c>
      <c r="F27" s="3" t="s">
        <v>4</v>
      </c>
      <c r="G27" s="3">
        <v>466</v>
      </c>
      <c r="H27" s="3">
        <v>1269</v>
      </c>
      <c r="I27" s="3">
        <f t="shared" si="16"/>
        <v>1735</v>
      </c>
    </row>
    <row r="28" spans="1:18" x14ac:dyDescent="0.25">
      <c r="A28" s="6" t="s">
        <v>10</v>
      </c>
      <c r="B28" s="2">
        <f>SUM(B23:B27)</f>
        <v>8169</v>
      </c>
      <c r="C28" s="2">
        <f t="shared" ref="C28:D28" si="17">SUM(C23:C27)</f>
        <v>16682</v>
      </c>
      <c r="D28" s="2">
        <f t="shared" si="17"/>
        <v>24851</v>
      </c>
      <c r="F28" s="6" t="s">
        <v>10</v>
      </c>
      <c r="G28" s="2">
        <f>SUM(G23:G27)</f>
        <v>8169</v>
      </c>
      <c r="H28" s="2">
        <f t="shared" ref="H28" si="18">SUM(H23:H27)</f>
        <v>16682</v>
      </c>
      <c r="I28" s="2">
        <f t="shared" ref="I28" si="19">SUM(I23:I27)</f>
        <v>24851</v>
      </c>
    </row>
    <row r="30" spans="1:18" x14ac:dyDescent="0.25">
      <c r="A30" s="1" t="s">
        <v>27</v>
      </c>
    </row>
    <row r="32" spans="1:18" x14ac:dyDescent="0.25">
      <c r="A32" s="2" t="s">
        <v>12</v>
      </c>
      <c r="B32" s="2" t="s">
        <v>25</v>
      </c>
      <c r="C32" s="2" t="s">
        <v>26</v>
      </c>
      <c r="D32" s="6" t="s">
        <v>10</v>
      </c>
    </row>
    <row r="33" spans="1:4" x14ac:dyDescent="0.25">
      <c r="A33" s="3" t="s">
        <v>0</v>
      </c>
      <c r="B33" s="3">
        <v>3202</v>
      </c>
      <c r="C33" s="3">
        <v>3893</v>
      </c>
      <c r="D33" s="3">
        <f>SUM(B33:C33)</f>
        <v>7095</v>
      </c>
    </row>
    <row r="34" spans="1:4" x14ac:dyDescent="0.25">
      <c r="A34" s="3" t="s">
        <v>1</v>
      </c>
      <c r="B34" s="3">
        <v>3116</v>
      </c>
      <c r="C34" s="3">
        <v>2403</v>
      </c>
      <c r="D34" s="3">
        <f t="shared" ref="D34:D37" si="20">SUM(B34:C34)</f>
        <v>5519</v>
      </c>
    </row>
    <row r="35" spans="1:4" x14ac:dyDescent="0.25">
      <c r="A35" s="5" t="s">
        <v>24</v>
      </c>
      <c r="B35" s="3">
        <v>5156</v>
      </c>
      <c r="C35" s="3">
        <v>4792</v>
      </c>
      <c r="D35" s="3">
        <f t="shared" si="20"/>
        <v>9948</v>
      </c>
    </row>
    <row r="36" spans="1:4" x14ac:dyDescent="0.25">
      <c r="A36" s="3" t="s">
        <v>3</v>
      </c>
      <c r="B36" s="3">
        <v>2366</v>
      </c>
      <c r="C36" s="3">
        <v>2758</v>
      </c>
      <c r="D36" s="3">
        <f t="shared" si="20"/>
        <v>5124</v>
      </c>
    </row>
    <row r="37" spans="1:4" x14ac:dyDescent="0.25">
      <c r="A37" s="3" t="s">
        <v>4</v>
      </c>
      <c r="B37" s="3">
        <v>1136</v>
      </c>
      <c r="C37" s="3">
        <v>1534</v>
      </c>
      <c r="D37" s="3">
        <f t="shared" si="20"/>
        <v>2670</v>
      </c>
    </row>
    <row r="38" spans="1:4" x14ac:dyDescent="0.25">
      <c r="A38" s="6" t="s">
        <v>10</v>
      </c>
      <c r="B38" s="2">
        <f>SUM(B33:B37)</f>
        <v>14976</v>
      </c>
      <c r="C38" s="2">
        <f t="shared" ref="C38:D38" si="21">SUM(C33:C37)</f>
        <v>15380</v>
      </c>
      <c r="D38" s="2">
        <f t="shared" si="21"/>
        <v>30356</v>
      </c>
    </row>
    <row r="39" spans="1:4" x14ac:dyDescent="0.25">
      <c r="A39" s="4"/>
    </row>
    <row r="40" spans="1:4" x14ac:dyDescent="0.25">
      <c r="A40" s="1" t="s">
        <v>44</v>
      </c>
    </row>
    <row r="42" spans="1:4" x14ac:dyDescent="0.25">
      <c r="A42" s="2" t="s">
        <v>43</v>
      </c>
      <c r="B42" s="2" t="s">
        <v>10</v>
      </c>
    </row>
    <row r="43" spans="1:4" x14ac:dyDescent="0.25">
      <c r="A43" s="7" t="s">
        <v>28</v>
      </c>
      <c r="B43" s="8">
        <v>10254</v>
      </c>
    </row>
    <row r="44" spans="1:4" ht="30" x14ac:dyDescent="0.25">
      <c r="A44" s="7" t="s">
        <v>29</v>
      </c>
      <c r="B44" s="8">
        <v>1739</v>
      </c>
    </row>
    <row r="45" spans="1:4" x14ac:dyDescent="0.25">
      <c r="A45" s="7" t="s">
        <v>30</v>
      </c>
      <c r="B45" s="8">
        <v>655</v>
      </c>
    </row>
    <row r="46" spans="1:4" x14ac:dyDescent="0.25">
      <c r="A46" s="7" t="s">
        <v>31</v>
      </c>
      <c r="B46" s="8">
        <v>628</v>
      </c>
    </row>
    <row r="47" spans="1:4" ht="45" x14ac:dyDescent="0.25">
      <c r="A47" s="7" t="s">
        <v>32</v>
      </c>
      <c r="B47" s="8">
        <v>608</v>
      </c>
    </row>
    <row r="48" spans="1:4" x14ac:dyDescent="0.25">
      <c r="A48" s="7" t="s">
        <v>33</v>
      </c>
      <c r="B48" s="8">
        <v>417</v>
      </c>
    </row>
    <row r="49" spans="1:2" x14ac:dyDescent="0.25">
      <c r="A49" s="7" t="s">
        <v>34</v>
      </c>
      <c r="B49" s="8">
        <v>347</v>
      </c>
    </row>
    <row r="50" spans="1:2" x14ac:dyDescent="0.25">
      <c r="A50" s="7" t="s">
        <v>35</v>
      </c>
      <c r="B50" s="8">
        <v>332</v>
      </c>
    </row>
    <row r="51" spans="1:2" x14ac:dyDescent="0.25">
      <c r="A51" s="7" t="s">
        <v>36</v>
      </c>
      <c r="B51" s="8">
        <v>319</v>
      </c>
    </row>
    <row r="52" spans="1:2" x14ac:dyDescent="0.25">
      <c r="A52" s="7" t="s">
        <v>37</v>
      </c>
      <c r="B52" s="8">
        <v>309</v>
      </c>
    </row>
    <row r="53" spans="1:2" x14ac:dyDescent="0.25">
      <c r="A53" s="7" t="s">
        <v>38</v>
      </c>
      <c r="B53" s="8">
        <v>306</v>
      </c>
    </row>
    <row r="54" spans="1:2" x14ac:dyDescent="0.25">
      <c r="A54" s="7" t="s">
        <v>39</v>
      </c>
      <c r="B54" s="8">
        <v>305</v>
      </c>
    </row>
    <row r="55" spans="1:2" x14ac:dyDescent="0.25">
      <c r="A55" s="7" t="s">
        <v>40</v>
      </c>
      <c r="B55" s="8">
        <v>279</v>
      </c>
    </row>
    <row r="56" spans="1:2" x14ac:dyDescent="0.25">
      <c r="A56" s="7" t="s">
        <v>41</v>
      </c>
      <c r="B56" s="8">
        <v>265</v>
      </c>
    </row>
    <row r="57" spans="1:2" x14ac:dyDescent="0.25">
      <c r="A57" s="7" t="s">
        <v>42</v>
      </c>
      <c r="B57" s="8">
        <v>259</v>
      </c>
    </row>
    <row r="60" spans="1:2" x14ac:dyDescent="0.25">
      <c r="A60" s="10" t="s">
        <v>51</v>
      </c>
    </row>
    <row r="62" spans="1:2" x14ac:dyDescent="0.25">
      <c r="A62" s="2" t="s">
        <v>45</v>
      </c>
      <c r="B62" s="2" t="s">
        <v>10</v>
      </c>
    </row>
    <row r="63" spans="1:2" x14ac:dyDescent="0.25">
      <c r="A63" s="9" t="s">
        <v>46</v>
      </c>
      <c r="B63" s="8">
        <v>20241</v>
      </c>
    </row>
    <row r="64" spans="1:2" x14ac:dyDescent="0.25">
      <c r="A64" s="9" t="s">
        <v>47</v>
      </c>
      <c r="B64" s="8">
        <v>6031</v>
      </c>
    </row>
    <row r="65" spans="1:2" x14ac:dyDescent="0.25">
      <c r="A65" s="9" t="s">
        <v>48</v>
      </c>
      <c r="B65" s="8">
        <v>546</v>
      </c>
    </row>
    <row r="66" spans="1:2" x14ac:dyDescent="0.25">
      <c r="A66" s="9" t="s">
        <v>49</v>
      </c>
      <c r="B66" s="8">
        <v>122</v>
      </c>
    </row>
    <row r="67" spans="1:2" x14ac:dyDescent="0.25">
      <c r="A67" s="9" t="s">
        <v>50</v>
      </c>
      <c r="B67" s="8">
        <v>53</v>
      </c>
    </row>
    <row r="70" spans="1:2" x14ac:dyDescent="0.25">
      <c r="A70" s="12" t="s">
        <v>56</v>
      </c>
    </row>
    <row r="72" spans="1:2" x14ac:dyDescent="0.25">
      <c r="A72" s="2" t="s">
        <v>43</v>
      </c>
      <c r="B72" s="2" t="s">
        <v>25</v>
      </c>
    </row>
    <row r="73" spans="1:2" x14ac:dyDescent="0.25">
      <c r="A73" s="9" t="s">
        <v>28</v>
      </c>
      <c r="B73" s="8">
        <v>1793</v>
      </c>
    </row>
    <row r="74" spans="1:2" x14ac:dyDescent="0.25">
      <c r="A74" s="9" t="s">
        <v>29</v>
      </c>
      <c r="B74" s="8">
        <v>953</v>
      </c>
    </row>
    <row r="75" spans="1:2" x14ac:dyDescent="0.25">
      <c r="A75" s="9" t="s">
        <v>52</v>
      </c>
      <c r="B75" s="8">
        <v>482</v>
      </c>
    </row>
    <row r="76" spans="1:2" x14ac:dyDescent="0.25">
      <c r="A76" s="9" t="s">
        <v>53</v>
      </c>
      <c r="B76" s="8">
        <v>476</v>
      </c>
    </row>
    <row r="77" spans="1:2" x14ac:dyDescent="0.25">
      <c r="A77" s="9" t="s">
        <v>54</v>
      </c>
      <c r="B77" s="8">
        <v>416</v>
      </c>
    </row>
    <row r="78" spans="1:2" x14ac:dyDescent="0.25">
      <c r="A78" s="9" t="s">
        <v>31</v>
      </c>
      <c r="B78" s="8">
        <v>394</v>
      </c>
    </row>
    <row r="79" spans="1:2" x14ac:dyDescent="0.25">
      <c r="A79" s="9" t="s">
        <v>39</v>
      </c>
      <c r="B79" s="8">
        <v>353</v>
      </c>
    </row>
    <row r="80" spans="1:2" x14ac:dyDescent="0.25">
      <c r="A80" s="9" t="s">
        <v>41</v>
      </c>
      <c r="B80" s="8">
        <v>304</v>
      </c>
    </row>
    <row r="81" spans="1:2" x14ac:dyDescent="0.25">
      <c r="A81" s="9" t="s">
        <v>30</v>
      </c>
      <c r="B81" s="8">
        <v>276</v>
      </c>
    </row>
    <row r="82" spans="1:2" x14ac:dyDescent="0.25">
      <c r="A82" s="9" t="s">
        <v>55</v>
      </c>
      <c r="B82" s="8">
        <v>268</v>
      </c>
    </row>
    <row r="85" spans="1:2" x14ac:dyDescent="0.25">
      <c r="A85" s="12" t="s">
        <v>57</v>
      </c>
    </row>
    <row r="87" spans="1:2" x14ac:dyDescent="0.25">
      <c r="A87" s="2" t="s">
        <v>43</v>
      </c>
      <c r="B87" s="2" t="s">
        <v>26</v>
      </c>
    </row>
    <row r="88" spans="1:2" x14ac:dyDescent="0.25">
      <c r="A88" s="9" t="s">
        <v>28</v>
      </c>
      <c r="B88" s="8">
        <v>5660</v>
      </c>
    </row>
    <row r="89" spans="1:2" x14ac:dyDescent="0.25">
      <c r="A89" s="9" t="s">
        <v>29</v>
      </c>
      <c r="B89" s="8">
        <v>2368</v>
      </c>
    </row>
    <row r="90" spans="1:2" x14ac:dyDescent="0.25">
      <c r="A90" s="9" t="s">
        <v>30</v>
      </c>
      <c r="B90" s="8">
        <v>410</v>
      </c>
    </row>
    <row r="91" spans="1:2" x14ac:dyDescent="0.25">
      <c r="A91" s="9" t="s">
        <v>39</v>
      </c>
      <c r="B91" s="8">
        <v>377</v>
      </c>
    </row>
    <row r="92" spans="1:2" x14ac:dyDescent="0.25">
      <c r="A92" s="9" t="s">
        <v>31</v>
      </c>
      <c r="B92" s="8">
        <v>321</v>
      </c>
    </row>
    <row r="93" spans="1:2" x14ac:dyDescent="0.25">
      <c r="A93" s="9" t="s">
        <v>33</v>
      </c>
      <c r="B93" s="8">
        <v>258</v>
      </c>
    </row>
    <row r="94" spans="1:2" x14ac:dyDescent="0.25">
      <c r="A94" s="9" t="s">
        <v>34</v>
      </c>
      <c r="B94" s="8">
        <v>208</v>
      </c>
    </row>
    <row r="95" spans="1:2" x14ac:dyDescent="0.25">
      <c r="A95" s="9" t="s">
        <v>38</v>
      </c>
      <c r="B95" s="8">
        <v>205</v>
      </c>
    </row>
    <row r="96" spans="1:2" x14ac:dyDescent="0.25">
      <c r="A96" s="9" t="s">
        <v>32</v>
      </c>
      <c r="B96" s="8">
        <v>204</v>
      </c>
    </row>
    <row r="97" spans="1:2" x14ac:dyDescent="0.25">
      <c r="A97" s="9" t="s">
        <v>58</v>
      </c>
      <c r="B97" s="8">
        <v>192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dc:creator>
  <cp:lastModifiedBy>Jun</cp:lastModifiedBy>
  <dcterms:created xsi:type="dcterms:W3CDTF">2023-01-10T08:14:12Z</dcterms:created>
  <dcterms:modified xsi:type="dcterms:W3CDTF">2023-02-06T00:54:05Z</dcterms:modified>
</cp:coreProperties>
</file>